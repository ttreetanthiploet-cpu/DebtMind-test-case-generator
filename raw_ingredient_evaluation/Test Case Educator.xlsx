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670766/Downloads/"/>
    </mc:Choice>
  </mc:AlternateContent>
  <xr:revisionPtr revIDLastSave="0" documentId="8_{6E9B9661-4DF0-AA45-924B-1020F9961FE3}" xr6:coauthVersionLast="36" xr6:coauthVersionMax="36" xr10:uidLastSave="{00000000-0000-0000-0000-000000000000}"/>
  <bookViews>
    <workbookView xWindow="7820" yWindow="1400" windowWidth="21480" windowHeight="16700" xr2:uid="{00000000-000D-0000-FFFF-FFFF00000000}"/>
  </bookViews>
  <sheets>
    <sheet name="All Test Case Result" sheetId="3" r:id="rId1"/>
    <sheet name="Result Summary" sheetId="11" r:id="rId2"/>
    <sheet name="Alignment Set" sheetId="13" r:id="rId3"/>
    <sheet name="Alignment Summary" sheetId="12" r:id="rId4"/>
  </sheets>
  <calcPr calcId="181029"/>
  <pivotCaches>
    <pivotCache cacheId="1"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12" l="1"/>
  <c r="C7" i="12"/>
  <c r="C6" i="12"/>
  <c r="C5" i="12" l="1"/>
  <c r="C4" i="12" l="1"/>
</calcChain>
</file>

<file path=xl/sharedStrings.xml><?xml version="1.0" encoding="utf-8"?>
<sst xmlns="http://schemas.openxmlformats.org/spreadsheetml/2006/main" count="1888" uniqueCount="1192">
  <si>
    <t>RAG Focus</t>
  </si>
  <si>
    <t>Test Case ID</t>
  </si>
  <si>
    <t>Intent Group</t>
  </si>
  <si>
    <t>Case Description</t>
  </si>
  <si>
    <t>User Message</t>
  </si>
  <si>
    <t>Expected Result</t>
  </si>
  <si>
    <t>Actual Result</t>
  </si>
  <si>
    <t>Overall Score</t>
  </si>
  <si>
    <t>is_pass</t>
  </si>
  <si>
    <t>faithfulness_score</t>
  </si>
  <si>
    <t>faithfulness_reason</t>
  </si>
  <si>
    <t>relevance_score</t>
  </si>
  <si>
    <t>relevance_reason</t>
  </si>
  <si>
    <t>simplicity_score</t>
  </si>
  <si>
    <t>simplicity_reason</t>
  </si>
  <si>
    <t>retrieved_text</t>
  </si>
  <si>
    <t>retrieval_score</t>
  </si>
  <si>
    <t>retrieve_reason</t>
  </si>
  <si>
    <t>overall_verdict</t>
  </si>
  <si>
    <t>improvement_suggestion</t>
  </si>
  <si>
    <t>คุณสู้</t>
  </si>
  <si>
    <t>TC-001</t>
  </si>
  <si>
    <t>Eligibility</t>
  </si>
  <si>
    <t>ลูกหนี้มีสินเชื่อบ้าน วงเงินไม่เกิน 5 ล้าน ทำสัญญาก่อน 1 ม.ค. 67 และค้างชำระเกิน 30 วัน</t>
  </si>
  <si>
    <t>ผ่อนบ้านมา 2 ปี ยอดกู้ 3.5 ล้าน ตอนนี้ตกงานค้างจ่ายมา 2 เดือนแล้ว กลัวโดนยึดบ้านมาก มีโครงการไหนช่วยลดค่างวดได้บ้าง</t>
  </si>
  <si>
    <t xml:space="preserve">แจ้งว่าผ่านเกณฑ์มาตรการ "จ่ายตรง คงทรัพย์" แนะนำการลดค่างวดขั้นบันไดและพักดอกเบี้ย 3 ปี </t>
  </si>
  <si>
    <t xml:space="preserve">สวัสดีค่ะ สำหรับกรณีสินเชื่อบ้านของคุณที่มีวงเงิน 3.5 ล้านบาท คุณสามารถพิจารณาเข้าร่วมโครงการ “คุณสู้ เราช่วย” ในมาตรการที่ 1 “จ่ายตรง คงทรัพย์” ได้ค่ะ
มาตรการนี้จะช่วยลดค่างวดและพักดอกเบี้ยให้เป็นเวลา 3 ปี โดยค่างวดที่ชำระจะนำไปตัดเงินต้นทั้งหมด เพื่อให้ปิดจบหนี้ได้เร็วขึ้นค่ะ
อย่างไรก็ตาม เนื่องจากมาตรการของผู้ให้บริการแต่ละแห่งมีเงื่อนไขที่แตกต่างกัน และคุณมีสถานะค้างชำระอยู่ แนะนำให้คุณตรวจสอบรายละเอียดและคุณสมบัติเพิ่มเติมกับทางธนาคารเจ้าของสินเชื่อโดยตรงก่อนลงทะเบียนนะคะ
หากต้องการสอบถามข้อมูลเพิ่มเติม สามารถติดต่อ Krungthai Contact Center 02 111 1111 กด 99 หรือ BOT Contact Center 1213 ได้ค่ะ
</t>
  </si>
  <si>
    <t>บอทแนะนำมาตรการที่ 1 “จ่ายตรง คงทรัพย์” ซึ่งถูกต้องตามเอกสารสำหรับสินเชื่อบ้าน และระบุรูปแบบการให้ความช่วยเหลือ (ลดค่างวดและพักดอกเบี้ย 3 ปี โดยตัดเงินต้น) ได้ถูกต้องตาม Context การตอบแบบมีเงื่อนไข (ให้ตรวจสอบกับธนาคาร) ถือว่ายอมรับได้และไม่หักคะแนนตามหลัก Safety Over Rejection.</t>
  </si>
  <si>
    <t>บอทวิเคราะห์ข้อมูลลูกค้า (สินเชื่อบ้าน 3.5 ล้านบาท, ค้างชำระ 2 เดือน, ต้องการลดค่างวด) และแนะนำมาตรการที่ 1 “จ่ายตรง คงทรัพย์” ได้อย่างตรงประเด็นและเหมาะสมที่สุด ซึ่งมาตรการนี้ตรงกับความต้องการของลูกค้าในการลดค่างวดและรักษาทรัพย์สิน การตอบแบบมีเงื่อนไขถือว่ายอมรับได้และช่วยลดความเสี่ยง</t>
  </si>
  <si>
    <t>ภาษาที่ใช้เป็นธรรมชาติ สั้นกระชับ และเข้าใจง่าย มีการจัดรูปแบบที่ดี ทำให้ลูกค้าอ่านและทำความเข้าใจได้ทันที</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</si>
  <si>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</si>
  <si>
    <t>Context ที่ดึงมา (khunsoo-v3p0.txt) เกี่ยวข้องโดยตรงกับโครงการ “คุณสู้ เราช่วย” และมาตรการที่ 1 “จ่ายตรง คงทรัพย์” ซึ่งเป็นข้อมูลที่จำเป็นในการตอบคำถามของลูกค้า</t>
  </si>
  <si>
    <t>ผ่าน</t>
  </si>
  <si>
    <t>บอทสามารถระบุเงื่อนไขที่ลูกค้าเข้าข่ายได้ชัดเจนขึ้น เช่น วงเงินสินเชื่อบ้านไม่เกิน 5 ล้านบาท และสถานะค้างชำระเกิน 30 วัน เพื่อให้ลูกค้าเห็นภาพรวมว่าตนเองมีคุณสมบัติเบื้องต้นตรงตามเกณฑ์ ก่อนที่จะแนะนำให้ติดต่อธนาคารเพื่อตรวจสอบรายละเอียดเพิ่มเติม</t>
  </si>
  <si>
    <t>TC-002</t>
  </si>
  <si>
    <t>ลูกหนี้มีสินเชื่อรถยนต์ แต่วงเงินกู้เกินกว่าที่มาตรการกำหนด (8 แสนบาท)</t>
  </si>
  <si>
    <t>อยากเข้าโครงการที่ลดค่างวดครึ่งนึงค่ะ ผ่อนรถยนต์อยู่ ยอดกู้ 1.2 ล้าน ค้างมาเดือนนึงแล้ว</t>
  </si>
  <si>
    <t>แจ้งว่าไม่ผ่านเกณฑ์ เนื่องจากวงเงินกู้รถยนต์ต้องไม่เกิน 8 แสนบาท</t>
  </si>
  <si>
    <t xml:space="preserve">ขออภัยค่ะ สำหรับโครงการ “จ่ายตรง คงทรัพย์” (มาตรการที่ 1) ซึ่งมีมาตรการลดค่างวดนั้น มีเงื่อนไขกำหนดว่าสินเชื่อเช่าซื้อหรือจำนำทะเบียนรถยนต์จะต้องมีวงเงินรวมไม่เกิน 800,000 บาทค่ะ
เนื่องจากยอดกู้ของคุณลูกค้าอยู่ที่ 1.2 ล้านบาท จึงไม่เข้าเงื่อนไขของโครงการนี้ค่ะ หากต้องการสอบถามข้อมูลเพิ่มเติม สามารถติดต่อ Krungthai Contact Center 02 111 1111 กด 99 หรือ BOT Contact Center 1213 ได้นะคะ </t>
  </si>
  <si>
    <t>บอทระบุชื่อมาตรการและเงื่อนไขวงเงินสินเชื่อรถยนต์ได้อย่างถูกต้องตามเอกสารอ้างอิงทุกประการ</t>
  </si>
  <si>
    <t>บอทตอบตรงคำถามของลูกค้าและวิเคราะห์ข้อมูลวงเงินกู้ของลูกค้าเทียบกับเงื่อนไขของมาตรการได้อย่างถูกต้องแม่นยำ และฟันธงว่าไม่ผ่านเกณฑ์อย่างชัดเจน</t>
  </si>
  <si>
    <t>บอทใช้ภาษาที่เข้าใจง่าย กระชับ และจัดรูปแบบการตอบได้ดี</t>
  </si>
  <si>
    <t>Context ที่ดึงมาเกี่ยวข้องโดยตรงกับมาตรการที่ 1 และเงื่อนไขวงเงินสินเชื่อรถยนต์</t>
  </si>
  <si>
    <t>-</t>
  </si>
  <si>
    <t>TC-003</t>
  </si>
  <si>
    <t>ลูกหนี้มีสินเชื่อบ้านที่ทำสัญญาหลังวันที่ 1 ม.ค. 67 ซึ่งขัดกับเงื่อนไข Cut-off date</t>
  </si>
  <si>
    <t>พิ่งกู้ซื้อคอนโด 3 ล้าน เมื่อกุมภาปี 67 ตอนนี้เริ่มผ่อนไม่ไหว ค้างมา 40 วันแล้ว เข้าคุณสู้ได้ไหม</t>
  </si>
  <si>
    <t xml:space="preserve">แจ้งว่าไม่ผ่านเกณฑ์ เพราะต้องเป็นสัญญาที่ทำก่อนวันที่ 1 มกราคม 2567 เท่านั้น </t>
  </si>
  <si>
    <t>สวัสดีค่ะ สำหรับสินเชื่อบ้านวงเงิน 3 ล้านบาท หากท่านมีสถานะค้างชำระเกิน 30 วัน และทำสัญญาก่อนวันที่ 1 มกราคม 2567 ท่านอาจเข้าเงื่อนไขมาตรการที่ 1 “จ่ายตรง คงทรัพย์” ค่ะ 
อย่างไรก็ตาม มาตรการของผู้ให้บริการแต่ละแห่งมีเงื่อนไขที่แตกต่างกัน รบกวนท่านศึกษารายละเอียดและติดต่อสถาบันการเงินของท่านโดยตรง หรือสอบถามเพิ่มเติมที่ Krungthai Contact Center 02 111 1111 กด 99 หรือ BOT Contact Center 1213 ค่ะ</t>
  </si>
  <si>
    <t>บอทระบุเงื่อนไขที่ถูกต้องตามเอกสารทุกประการ โดยเฉพาะเงื่อนไขวันที่ทำสัญญาที่สำคัญ ซึ่งเป็นไปตามหลักการ Safe Response ที่กางเกณฑ์ให้ลูกค้าตรวจสอบเอง</t>
  </si>
  <si>
    <t>บอทเลือกที่จะไม่ฟันธงปฏิเสธลูกค้าโดยตรง แต่ใช้วิธีทวนเงื่อนไขสำคัญที่ถูกต้องเพื่อให้ลูกค้าพิจารณาตนเอง ซึ่งยอมรับได้ตามเกณฑ์ Safety Over Rejection</t>
  </si>
  <si>
    <t>ภาษาเป็นธรรมชาติ สั้นกระชับ และเข้าใจง่าย</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</si>
  <si>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</si>
  <si>
    <t>Context ที่ดึงมาเกี่ยวข้องโดยตรงกับคำถามและมาตรการที่ 1 “จ่ายตรง คงทรัพย์”</t>
  </si>
  <si>
    <t>บอทสามารถปรับปรุงให้คำตอบมีความตรงประเด็นมากขึ้นโดยการชี้แจงเงื่อนไขที่ลูกค้าไม่ผ่านเกณฑ์โดยตรง (เช่น วันที่ทำสัญญา) ในขณะที่ยังคงให้ข้อมูลเงื่อนไขอื่นๆ ที่ถูกต้องครบถ้วน เพื่อให้ลูกค้าเข้าใจสถานะของตนเองได้ชัดเจนยิ่งขึ้น</t>
  </si>
  <si>
    <t>TC-004</t>
  </si>
  <si>
    <t>ลูกหนี้สอบถามถึงหนี้สหกรณ์ซึ่งเป็นประเภทหนี้ที่ไม่เข้าร่วมมาตรการ</t>
  </si>
  <si>
    <t>เป็นหนี้สหกรณ์ออมทรัพย์ครูอยู่ 3 แสน ผ่อนไม่ไหวแล้ว อยากขอพักดอกเบี้ย 3 ปีตามข่าวค่ะ</t>
  </si>
  <si>
    <t>แจ้งว่าไม่ผ่านเกณฑ์ เนื่องจากหนี้สหกรณ์ไม่สามารถเข้าร่วมโครงการได้</t>
  </si>
  <si>
    <t xml:space="preserve">สวัสดีค่ะ ต้องขออภัยด้วยนะคะ ข้อมูลโครงการ “คุณสู้ เราช่วย” ที่ระบุไว้ในเอกสารจะครอบคลุมเฉพาะลูกหนี้ของธนาคารพาณิชย์ สถาบันการเงินเฉพาะกิจ และผู้ประกอบธุรกิจ Non-Bank เท่านั้นค่ะ
สำหรับหนี้สหกรณ์ออมทรัพย์ครู ไม่ได้อยู่ในเงื่อนไขของโครงการนี้ค่ะ หากต้องการสอบถามข้อมูลเพิ่มเติม แนะนำให้ติดต่อ Krungthai Contact Center 02 111 1111 กด 99 หรือ BOT Contact Center 1213 นะคะ </t>
  </si>
  <si>
    <t>บอทตอบถูกต้องตามเอกสารที่ระบุว่าโครงการครอบคลุมลูกหนี้ประเภทใดบ้าง และระบุได้ถูกต้องว่าหนี้สหกรณ์ออมทรัพย์ครูไม่อยู่ในเงื่อนไข</t>
  </si>
  <si>
    <t>บอทตอบตรงประเด็นและฟันธงได้ถูกต้องว่าหนี้สหกรณ์ออมทรัพย์ครูไม่สามารถเข้าร่วมโครงการได้ พร้อมทั้งให้ช่องทางการติดต่อเพิ่มเติม</t>
  </si>
  <si>
    <t>ภาษาที่ใช้เป็นธรรมชาติ สั้นกระชับ และเข้าใจง่าย</t>
  </si>
  <si>
    <t>บอทดึงข้อมูลจากส่วนที่ระบุขอบเขตของโครงการ “คุณสู้ เราช่วย” มาใช้ได้อย่างถูกต้องและตรงประเด็น</t>
  </si>
  <si>
    <t>ไม่มีคำแนะนำเพิ่มเติม เนื่องจากคำตอบมีความถูกต้อง ชัดเจน และตรงประเด็น</t>
  </si>
  <si>
    <t>TC-005</t>
  </si>
  <si>
    <t>ลูกหนี้มีสินเชื่อรถจักรยานยนต์ วงเงินไม่เกิน 5 หมื่นบาท และมีสถานะค้างชำระตามเกณฑ์</t>
  </si>
  <si>
    <t>ผ่อนมอเตอร์ไซค์ ยอดกู้ 4 หมื่น ทำสัญญาปี 66 ค้างจ่ายมา 2 เดือน อยากเข้าโครงการลดค่างวดต้องทำไง</t>
  </si>
  <si>
    <t xml:space="preserve">แจ้งว่าผ่านเกณฑ์มาตรการ "จ่ายตรง คงทรัพย์" พร้อมระบุรูปแบบการช่วยเหลือ </t>
  </si>
  <si>
    <t>สวัสดีค่ะ สำหรับการเข้าร่วมโครงการลดค่างวดสินเชื่อเช่าซื้อรถจักรยานยนต์ คุณสามารถตรวจสอบมาตรการที่ 1 “จ่ายตรง คงทรัพย์” ได้ค่ะ
โดยมีเงื่อนไขเบื้องต้นคือ ต้องเป็นสินเชื่อที่ทำสัญญาก่อนวันที่ 1 มกราคม 2567 และมีวงเงินรวมไม่เกิน 5 หมื่นบาทค่ะ 
อย่างไรก็ตาม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t>
  </si>
  <si>
    <t>บอทระบุมาตรการและเงื่อนไขที่ถูกต้องตามเอกสารทุกประการ รวมถึงการตอบแบบกางเงื่อนไขเพื่อให้ลูกค้าตรวจสอบเองถือว่าถูกต้องตามหลักการ Safe Response</t>
  </si>
  <si>
    <t>บอทระบุมาตรการที่ตรงกับคำถามและกางเงื่อนไขที่เกี่ยวข้องให้ลูกค้าพิจารณา ซึ่งยอมรับได้ตามหลักการ Safety Over Rejection แม้จะไม่ได้ฟันธงว่าลูกค้าผ่านเกณฑ์โดยตรงตาม Expected Output</t>
  </si>
  <si>
    <t>Context ที่ดึงมาเกี่ยวข้องโดยตรงกับมาตรการที่ 1 “จ่ายตรง คงทรัพย์” ซึ่งเป็นมาตรการที่ลูกค้าสอบถามถึง</t>
  </si>
  <si>
    <t>บอทสามารถระบุได้ชัดเจนขึ้นว่าจากข้อมูลที่ลูกค้าให้มา ลูกค้ามีคุณสมบัติเบื้องต้นในการเข้าร่วมมาตรการนี้ได้เลย เพื่อให้คำตอบตรงกับ Expected Output มากขึ้น แต่ยังคงต้องมีข้อความให้ตรวจสอบกับผู้ให้บริการอีกครั้ง</t>
  </si>
  <si>
    <t>TC-006</t>
  </si>
  <si>
    <t>ทดสอบความเข้าใจเรื่อง การรวมหนี้ (Debt Consolidation) ภายใต้มาตรการที่ 1</t>
  </si>
  <si>
    <t>เข้าโครงการบ้านแล้ว จะเอาหนี้บัตรเครดิตมารวมด้วยได้ไหมคะ</t>
  </si>
  <si>
    <t xml:space="preserve">แจ้งว่าทำได้ หากมีหนี้บ้านหรือรถที่เข้าเกณฑ์อยู่แล้ว สามารถพิจารณารวมหนี้บัตรเครดิต/สินเชื่อส่วนบุคคลได้ภายใต้วงเงินที่กำหนด </t>
  </si>
  <si>
    <t xml:space="preserve">สำหรับการรวมหนี้บัตรเครดิตเข้ากับหนี้บ้านภายใต้โครงการ “คุณสู้ เราช่วย” มาตรการที่ 1 “จ่ายตรง คงทรัพย์” นั้น หากท่านมีหนี้บ้านที่เข้าเงื่อนไข สามารถพิจารณาเข้าร่วมมาตรการรวมหนี้ได้ โดยขึ้นอยู่กับระดับความเสี่ยงที่สถาบันการเงินรับได้และวงเงินรวมต้องไม่เกินที่กำหนดค่ะ
ทั้งนี้ มาตรการของผู้ให้บริการแต่ละแห่งมีเงื่อนไขที่แตกต่างกัน โปรดศึกษารายละเอียดและเงื่อนไขก่อนลงทะเบียน หรือติดต่อ Krungthai Contact Center 02 111 1111 กด 99 หรือ BOT Contact Center 1213 ค่ะ
</t>
  </si>
  <si>
    <t>ข้อมูลที่บอทให้ถูกต้อง 100% ตามเอกสารอ้างอิง โดยเฉพาะประเด็นการรวมหนี้บัตรเครดิตกับหนี้บ้านภายใต้มาตรการที่ 1</t>
  </si>
  <si>
    <t>บอทตอบตรงคำถามของลูกค้าและให้ข้อมูลที่ถูกต้องครบถ้วนตามเงื่อนไขที่ระบุในเอกสาร โดยไม่ฟันธงแต่กางเงื่อนไขให้ลูกค้าพิจารณา ซึ่งเป็นไปตามหลักการ Safe Response</t>
  </si>
  <si>
    <t>ภาษาที่ใช้เป็นธรรมชาติ เข้าใจง่าย และกระชับ</t>
  </si>
  <si>
    <t>Context ที่ดึงมาเกี่ยวข้องโดยตรงกับคำถามของลูกค้า โดยเฉพาะส่วนของมาตรการที่ 1 ที่กล่าวถึงการรวมหนี้บัตรเครดิตกับหนี้บ้าน</t>
  </si>
  <si>
    <t>ไม่มีคำแนะนำเพิ่มเติม เนื่องจากคำตอบถูกต้องและครบถ้วนตามหลักการ</t>
  </si>
  <si>
    <t>TC-007</t>
  </si>
  <si>
    <t>ทดสอบเงื่อนไข ข้อห้ามก่อหนี้ใหม่ ภายใน 12 เดือนแรก</t>
  </si>
  <si>
    <t>เข้าโครงการมา 5 เดือนแล้ว อยากผ่อนมือถือเครื่องใหม่ ทำได้ไหม</t>
  </si>
  <si>
    <t>แจ้งว่าไม่ได้ เพราะเงื่อนไขห้ามทำสัญญาสินเชื่ออุปโภคบริโภคใหม่ใน 12 เดือนแรก หากทำจะถือว่าผิดเงื่อนไขและต้องออกจากมาตรการ</t>
  </si>
  <si>
    <t xml:space="preserve">สวัสดีค่ะ สำหรับการผ่อนชำระสินค้าใหม่ เช่น โทรศัพท์มือถือ หากท่านเข้าร่วมมาตรการภายใต้โครงการ “คุณสู้ เราช่วย” จะมีเงื่อนไขระบุไว้ว่า ลูกหนี้จะไม่สามารถทำสัญญาสินเชื่ออุปโภคบริโภคใหม่ได้ในช่วง 12 เดือนแรกหลังเข้าร่วมมาตรการค่ะ  </t>
  </si>
  <si>
    <t>บอทตอบถูกต้องตามเงื่อนไขที่ระบุในเอกสารอ้างอิงว่าลูกหนี้จะไม่สามารถทำสัญญาสินเชื่ออุปโภคบริโภคใหม่ได้ในช่วง 12 เดือนแรกหลังเข้าร่วมมาตรการ ซึ่งเป็นเงื่อนไขที่พบในมาตรการที่ 1 และ 3</t>
  </si>
  <si>
    <t>บอทตอบตรงประเด็นคำถามของลูกค้า โดยการกางเงื่อนไขที่ถูกต้องและสำคัญ ทำให้ลูกค้าสามารถพิจารณาได้ด้วยตนเองว่าไม่สามารถผ่อนมือถือเครื่องใหม่ได้ เนื่องจากยังอยู่ในช่วง 5 เดือนแรกของการเข้าร่วมโครงการ ซึ่งไม่เกิน 12 เดือนตามเงื่อนไขที่ห้ามก่อหนี้ใหม่ ถือเป็นการตอบแบบ Safe Response ที่ยอมรับได้</t>
  </si>
  <si>
    <t>Context ที่ดึงมาเกี่ยวข้องโดยตรงกับคำถามของลูกค้าและเงื่อนไขของโครงการ "คุณสู้ เราช่วย" โดยเฉพาะเงื่อนไขการห้ามก่อหนี้ใหม่ใน 12 เดือนแรก</t>
  </si>
  <si>
    <t>ไม่มี</t>
  </si>
  <si>
    <t>TC-008</t>
  </si>
  <si>
    <t>ลูกหนี้บุคคลธรรมดาทุกประเภท ที่มีหนี้เสียยอดไม่เกิน 5,000 บาทต่อบัญชี</t>
  </si>
  <si>
    <t>มีหนี้ค้างอยู่ 4,500 บาท เป็นหนี้เสียมานานแล้ว เห็นว่ามีมาตรการช่วยปิดจบยอดน้อยๆ อันนี้สมัครได้ไหม</t>
  </si>
  <si>
    <t>ผ่านเกณฑ์ เนื่องจากเป็นลูกหนี้บุคคลธรรมดาที่มีสถานะหนี้เสีย (NPL) ณ 31 ต.ค. 67 และมียอดหนี้ไม่เกิน 5,000 บาทต่อบัญชี</t>
  </si>
  <si>
    <t xml:space="preserve">สวัสดีค่ะ สำหรับยอดหนี้ 4,500 บาท หากท่านมีสถานะเป็นหนี้เสีย (NPL) ณ วันที่ 31 ตุลาคม 2567 ท่านอาจเข้าเงื่อนไขมาตรการที่ 2 “จ่าย ปิด จบ” ซึ่งรองรับสินเชื่อทุกประเภทที่มีภาระหนี้ไม่เกิน 5,000 บาทต่อบัญชีค่ะ
ทั้งนี้ มาตรการของผู้ให้บริการแต่ละแห่งมีเงื่อนไขที่แตกต่างกัน รบกวนท่านศึกษารายละเอียดและคุณสมบัติเพิ่มเติมก่อนลงทะเบียนนะคะ
</t>
  </si>
  <si>
    <t>บอทระบุเงื่อนไขของมาตรการที่ 2 “จ่าย ปิด จบ” ได้ถูกต้องตามเอกสารทุกประการ ทั้งเรื่องสถานะหนี้เสีย (NPL) ณ วันที่ 31 ตุลาคม 2567 และยอดหนี้ไม่เกิน 5,000 บาทต่อบัญชี การตอบแบบกางเงื่อนไขถือว่าถูกต้องและปลอดภัย</t>
  </si>
  <si>
    <t>บอทตอบตรงคำถามของลูกค้าที่สอบถามถึงมาตรการช่วยปิดจบยอดน้อยๆ และวิเคราะห์ข้อมูลลูกค้า (หนี้ 4,500 บาท) ได้อย่างถูกต้องว่าอาจเข้าข่ายมาตรการที่ 2 โดยการกางเงื่อนไขให้ลูกค้าพิจารณาเองถือว่าเหมาะสมและลดความเสี่ยง</t>
  </si>
  <si>
    <t>ภาษาที่ใช้เป็นธรรมชาติ สั้นกระชับ และเข้าใจง่าย มีการจัดรูปแบบที่ดี</t>
  </si>
  <si>
    <t>Context ที่ดึงมาเกี่ยวข้องโดยตรงกับคำถามของลูกค้าและมาตรการที่บอทแนะนำ</t>
  </si>
  <si>
    <t>คำตอบดีมาก ไม่จำเป็นต้องปรับปรุง</t>
  </si>
  <si>
    <t>TC-009</t>
  </si>
  <si>
    <t>ลูกหนี้หนี้เสียไม่มีหลักประกัน (บัตรเครดิต) ที่มียอดหนี้ไม่เกิน 10,000 บาท</t>
  </si>
  <si>
    <t>บัตรเครดิตมียอดค้าง 8,500 บาท ไม่ได้จ่ายมาเกือบปีแล้ว อยากขอปิดบัญชีให้จบๆ ไป มีส่วนลดให้ไหม</t>
  </si>
  <si>
    <t>ผ่านเกณฑ์ มาตรการ "จ่าย ปิด จบ" สำหรับสินเชื่อไม่มีหลักประกัน โดยมียอดหนี้ไม่เกิน 10,000 บาท และเป็นหนี้เสีย (NPL) เกิน 90 วัน</t>
  </si>
  <si>
    <t xml:space="preserve">สวัสดีค่ะ สำหรับยอดหนี้บัตรเครดิต 8,500 บาท หากท่านต้องการปิดบัญชี ทางโครงการ “คุณสู้ เราช่วย” มีมาตรการที่ 3 “จ่าย ตัด ต้น” สำหรับสินเชื่อไม่มีหลักประกันที่มียอดหนี้ไม่เกิน 50,000 บาทต่อบัญชี โดยสามารถตกลงกับเจ้าหนี้เพื่อชำระค่างวดและปิดจบหนี้ได้เร็วขึ้นค่ะ 
ทั้งนี้ มาตรการของผู้ให้บริการแต่ละแห่งมีเงื่อนไขแตกต่างกัน แนะนำให้ท่านศึกษารายละเอียดและติดต่อสถาบันการเงินเจ้าของบัตรโดยตรง หรือสอบถามข้อมูลเพิ่มเติมได้ที่ Krungthai Contact Center 02 111 1111 กด 99 หรือ BOT Contact Center 1213 ค่ะ </t>
  </si>
  <si>
    <t>บอทให้ข้อมูลเงื่อนไขของมาตรการที่ 3 ได้ถูกต้องตามเอกสารทุกประการ แม้ว่าจะไม่ใช่มาตรการที่ตรงกับความต้องการของลูกค้ามากที่สุด แต่ข้อมูลที่ให้มานั้นถูกต้อง</t>
  </si>
  <si>
    <t>บอทเลือกมาตรการที่ 3 ซึ่งเป็นมาตรการที่สามารถนำไปสู่การปิดบัญชีได้ แต่มาตรการที่ 2 "จ่าย ปิด จบ" จะตรงกับความต้องการของลูกค้าที่ต้องการ "ปิดบัญชีให้จบๆ ไป มีส่วนลดให้ไหม" มากกว่า อย่างไรก็ตาม บอทไม่ได้ให้ข้อมูลที่ผิดพลาดและแนะนำให้ติดต่อสถาบันการเงิน ซึ่งถือเป็น Safe Response</t>
  </si>
  <si>
    <t>ภาษาที่ใช้เป็นธรรมชาติ สั้นกระชับ และจัดรูปแบบได้ดี ทำให้เข้าใจง่าย</t>
  </si>
  <si>
    <t>บอทดึงข้อมูลจาก Context ที่เกี่ยวข้องโดยตรงกับโครงการ "คุณสู้ เราช่วย" และมาตรการที่ 3 มาใช้ได้อย่างถูกต้อง</t>
  </si>
  <si>
    <t>ควรพิจารณาแนะนำมาตรการที่ 2 “จ่าย ปิด จบ” ก่อน เนื่องจากตรงกับความต้องการของลูกค้าที่ต้องการ "ปิดบัญชีให้จบๆ ไป มีส่วนลดให้ไหม" มากกว่ามาตรการที่ 3</t>
  </si>
  <si>
    <t>TC-010</t>
  </si>
  <si>
    <t>ลูกหนี้หนี้มีหลักประกันที่ถูกบังคับทรัพย์แล้วและมียอดหนี้เหลือไม่เกิน 30,000 บาท</t>
  </si>
  <si>
    <t>รถมอเตอร์ไซค์โดนยึดไปแล้ว แต่ยังมีหนี้ค้างอยู่อีก 25,000 บาท จะขอเข้าโครงการเพื่อล้างหนี้ที่เหลือได้ไหม</t>
  </si>
  <si>
    <t xml:space="preserve">ผ่านเกณฑ์ มาตรการ "จ่าย ปิด จบ" สำหรับสินเชื่อที่มีหลักประกันซึ่งถูกบังคับหลักประกันแล้ว โดยมียอดหนี้คงเหลือไม่เกิน 30,000 บาท </t>
  </si>
  <si>
    <t>สวัสดีค่ะ สำหรับกรณีที่รถมอเตอร์ไซค์ถูกยึดไปแล้วและมียอดหนี้คงเหลือ 25,000 บาท หากท่านต้องการทราบว่าสามารถเข้าร่วมโครงการเพื่อล้างหนี้ได้หรือไม่ ท่านสามารถตรวจสอบเงื่อนไขของ "มาตรการที่ 2 จ่าย ปิด จบ" ได้ค่ะ
โดยมาตรการนี้รองรับสินเชื่อที่มีหลักประกัน (เช่าซื้อ/จำนำทะเบียนรถจักรยานยนต์) ที่มียอดหนี้ไม่เกิน 30,000 บาทต่อบัญชี แต่มีเงื่อนไขสำคัญคือต้องเป็นกรณีที่ "บังคับหลักประกันแล้วและไม่สามารถติดตามทรัพย์ได้" เท่านั้นค่ะ 
หากท่านไม่แน่ใจว่ากรณีของท่านเข้าเงื่อนไขหรือไม่ หรือต้องการสอบถามรายละเอียดเพิ่มเติม แนะนำให้ติดต่อ Krungthai Contact Center 02 111 1111 กด 99 หรือ BOT Contact Center 1213 โดยตรงนะคะ</t>
  </si>
  <si>
    <t>บอทระบุเงื่อนไขของมาตรการ "จ่าย ปิด จบ" ได้ถูกต้องตามเอกสารทุกประการ ทั้งเรื่องยอดหนี้และเงื่อนไข "บังคับหลักประกันแล้วและไม่สามารถติดตามทรัพย์ได้" การตอบแบบกางเงื่อนไขให้ลูกค้าตรวจสอบเองถือว่าถูกต้องตามหลักการ Safe Response.</t>
  </si>
  <si>
    <t>บอทตอบตรงประเด็นโดยแนะนำมาตรการที่เกี่ยวข้องกับสถานการณ์ของลูกค้า (รถถูกยึดและมีหนี้ค้าง) และกางเงื่อนไขที่ถูกต้องให้ลูกค้าพิจารณา ซึ่งถือว่ายอมรับได้ตามหลักการ "Safety Over Rejection" แม้จะไม่ได้ฟันธงว่า "ผ่านเกณฑ์" โดยตรงเหมือน Expected Output.</t>
  </si>
  <si>
    <t>ภาษาที่ใช้เป็นธรรมชาติ เข้าใจง่าย และจัดรูปแบบการนำเสนอข้อมูลได้ดี ทำให้ลูกค้าอ่านแล้วเข้าใจได้ทันที</t>
  </si>
  <si>
    <t>Context ที่ดึงมาเกี่ยวข้องโดยตรงกับ "มาตรการที่ 2 จ่าย ปิด จบ" ซึ่งเป็นมาตรการที่เหมาะสมกับคำถามของลูกค้า</t>
  </si>
  <si>
    <t>คำตอบของบอทดีอยู่แล้วตามหลักการ "Safety Over Rejection" หากต้องการให้ฟันธงมากขึ้น อาจเพิ่มประโยคสรุปสั้นๆ ว่า "จากข้อมูลที่คุณให้มา คุณอาจเข้าข่ายมาตรการนี้ได้ หากเป็นไปตามเงื่อนไข..." ก่อนลิสต์เงื่อนไข แต่ปัจจุบันก็ถือว่ายอมรับได้แล้ว</t>
  </si>
  <si>
    <t>TC-011</t>
  </si>
  <si>
    <t>ลูกหนี้หนี้ไม่มีหลักประกัน แต่ยอดหนี้เกินเพดานที่กำหนด (10,000 บาท)</t>
  </si>
  <si>
    <t>มีหนี้บัตรเครดิตที่เป็นหนี้เสียอยู่ 15,000 บาท อยากจ่ายแค่บางส่วนเพื่อปิดจบโครงการเฟส 2 ทำได้ไหม</t>
  </si>
  <si>
    <t>ไม่ผ่านเกณฑ์ ของมาตรการ "จ่าย ปิด จบ" เนื่องจากยอดหนี้สินเชื่อไม่มีหลักประกันต้องไม่เกิน 10,000 บาทต่อบัญชี</t>
  </si>
  <si>
    <t>สวัสดีค่ะ สำหรับมาตรการ "จ่าย ปิด จบ" (มาตรการที่ 2) ซึ่งรองรับการชำระหนี้บางส่วนเพื่อปิดจบหนี้ได้นั้น มีเงื่อนไขสำหรับสินเชื่อที่ไม่มีหลักประกันว่าต้องมีภาระหนี้ไม่เกิน 10,000 บาทต่อบัญชีค่ะ
เนื่องจากยอดหนี้ของคุณอยู่ที่ 15,000 บาท จึงไม่เข้าเงื่อนไขของมาตรการนี้ค่ะ 
หากต้องการสอบถามข้อมูลเพิ่มเติม สามารถติดต่อ Krungthai Contact Center 02 111 1111 กด 99 หรือ BOT Contact Center 1213 ได้เลยนะคะ</t>
  </si>
  <si>
    <t>บอทระบุเงื่อนไขของมาตรการ "จ่าย ปิด จบ" สำหรับสินเชื่อไม่มีหลักประกันว่าต้องมีภาระหนี้ไม่เกิน 10,000 บาทต่อบัญชี ซึ่งถูกต้องตามเอกสารอ้างอิง</t>
  </si>
  <si>
    <t>บอทตอบตรงคำถามของลูกค้า โดยวิเคราะห์ข้อมูลหนี้ของลูกค้า (15,000 บาท) และฟันธงได้อย่างถูกต้องว่าไม่เข้าเงื่อนไขของมาตรการที่ลูกค้าสอบถาม</t>
  </si>
  <si>
    <t>บอทดึงข้อมูลจากมาตรการที่ 2 "จ่าย ปิด จบ" ซึ่งเกี่ยวข้องโดยตรงกับคำถามของลูกค้าเรื่องการจ่ายบางส่วนเพื่อปิดจบหนี้</t>
  </si>
  <si>
    <t>TC-012</t>
  </si>
  <si>
    <t>ลูกหนี้มียอดหนี้ต่ำตามเกณฑ์ แต่สถานะหนี้ยังไม่ถึงขั้นหนี้เสีย (NPL 90 วัน)</t>
  </si>
  <si>
    <t>ยอดหนี้เหลือแค่ 3,000 บาทเอง แต่เพิ่งค้างมาได้ 2 เดือน จะขอปิดจบแบบมีส่วนลดโครงการคุณสู้ได้ไหมคะ</t>
  </si>
  <si>
    <t xml:space="preserve">ไม่ผ่านเกณฑ์ เนื่องจากมาตรการ "จ่าย ปิด จบ" กำหนดว่าต้องมีสถานะเป็นหนี้เสีย (NPL) หรือค้างชำระเกินกว่า 90 วัน ณ 31 ตุลาคม 2567 </t>
  </si>
  <si>
    <t>ขออภัยค่ะ คุณลูกค้าไม่สามารถเข้าร่วมมาตรการ “จ่าย ปิด จบ” ได้ เนื่องจากเงื่อนไขกำหนดว่าลูกหนี้ต้องมีสถานะเป็นหนี้เสีย (NPL) หรือค้างชำระเกินกว่า 90 วัน ณ วันที่ 31 ตุลาคม 2567 ค่ะ 
หากมีข้อสงสัยเพิ่มเติม สามารถติดต่อ Krungthai Contact Center 02 111 1111 กด 99 หรือ BOT Contact Center 1213 ค่ะ</t>
  </si>
  <si>
    <t>บอทระบุเงื่อนไขการเข้าร่วมมาตรการ "จ่าย ปิด จบ" ได้ถูกต้อง 100% ตามเอกสารอ้างอิง โดยเฉพาะเรื่องสถานะหนี้เสีย (NPL) หรือค้างชำระเกินกว่า 90 วัน ณ วันที่ 31 ตุลาคม 2567</t>
  </si>
  <si>
    <t>บอทตอบตรงคำถามของลูกค้าและวิเคราะห์ข้อมูลที่ลูกค้าให้มา (ค้างชำระ 2 เดือน) ได้อย่างถูกต้องแม่นยำ โดยฟันธงว่าไม่ผ่านเกณฑ์ตามเงื่อนไขที่ระบุในเอกสาร</t>
  </si>
  <si>
    <t>คำตอบกระชับ ชัดเจน และเข้าใจง่าย ไม่มีการใช้ภาษาที่ซับซ้อนหรือวนไปมา</t>
  </si>
  <si>
    <t>Context ที่ดึงมาเกี่ยวข้องโดยตรงกับคำถามของลูกค้าและมาตรการ "จ่าย ปิด จบ" ที่ลูกค้าสอบถามถึง</t>
  </si>
  <si>
    <t>ไม่มีคำแนะนำเพิ่มเติม เนื่องจากคำตอบถูกต้อง ชัดเจน และตรงประเด็น</t>
  </si>
  <si>
    <t>TC-013</t>
  </si>
  <si>
    <t>ลูกหนี้บุคคลธรรมดามีหนี้เสียบัตรเครดิต ยอดหนี้ไม่เกิน 50,000 บาท และเป็นสัญญาเก่า</t>
  </si>
  <si>
    <t>มีหนี้บัตรเครดิตอยู่ 4 หมื่น เป็นหนี้เสียมาปีกว่าแล้ว อยากเข้าโครงการที่ให้ผ่อนเดือนละ 2% แล้วตัดต้นล้วนๆ ต้องทำยังไง</t>
  </si>
  <si>
    <t xml:space="preserve">านเกณฑ์ มาตรการ "จ่าย ตัด ต้น" เนื่องจากเป็นหนี้เสีย (NPL) ณ 31 ต.ค. 67 ยอดหนี้ไม่เกิน 50,000 บาท และทำสัญญาก่อน 1 ม.ค. 67 </t>
  </si>
  <si>
    <t xml:space="preserve">สวัสดีค่ะ สำหรับโครงการ “คุณสู้ เราช่วย” มาตรการที่ 3 “จ่าย ตัด ต้น” รองรับสินเชื่อไม่มีหลักประกัน (เช่น บัตรเครดิต) ที่มียอดหนี้ไม่เกิน 50,000 บาทต่อบัญชี และมีสถานะเป็นหนี้เสีย (NPL) ณ วันที่ 31 ตุลาคม 2567 โดยมีเงื่อนไขการผ่อนชำระ 2% ของเงินต้นคงค้างค่ะ 
ทั้งนี้ มาตรการของผู้ให้บริการแต่ละแห่งมีเงื่อนไขที่แตกต่างกัน รบกวนคุณลูกค้าศึกษารายละเอียดและติดต่อสถาบันการเงินเจ้าของสินเชื่อโดยตรงเพื่อลงทะเบียนค่ะ </t>
  </si>
  <si>
    <t>บอทระบุเงื่อนไขของมาตรการ "จ่าย ตัด ต้น" ได้ถูกต้องตามเอกสารทุกประการ รวมถึงการระบุประเภทสินเชื่อ ยอดหนี้ และสถานะหนี้เสีย ณ วันที่ 31 ตุลาคม 2567 และรูปแบบการผ่อนชำระ 2% ซึ่งถือเป็นการตอบแบบ Safe Response ที่กางเงื่อนไขให้ลูกค้าตรวจสอบตนเอง</t>
  </si>
  <si>
    <t>บอทตอบตรงประเด็นคำถามของลูกค้าเกี่ยวกับมาตรการที่ต้องการ แต่เลือกที่จะไม่ฟันธงว่าลูกค้าผ่านเกณฑ์โดยตรง แต่ใช้วิธีทวนเงื่อนไขสำคัญที่ถูกต้องเพื่อให้ลูกค้าพิจารณาตนเอง ซึ่งยอมรับได้ตามหลัก "Safety Over Rejection"</t>
  </si>
  <si>
    <t>Context ที่ดึงมาเกี่ยวข้องโดยตรงกับคำถามของลูกค้าเกี่ยวกับมาตรการ "จ่าย ตัด ต้น"</t>
  </si>
  <si>
    <t>บอทสามารถเพิ่มเงื่อนไขเรื่อง "สัญญาสินเชื่อทำก่อนวันที่ 1 มกราคม 2567" เพื่อให้ข้อมูลครบถ้วนยิ่งขึ้น แม้ว่าลูกค้าจะไม่ได้ระบุข้อมูลนี้ในคำถามก็ตาม</t>
  </si>
  <si>
    <t>TC-014</t>
  </si>
  <si>
    <t>ลูกหนี้มีหนี้เสียบัตรกดเงินสด แต่มียอดหนี้เกินเพดานที่มาตรการกำหนด (50,000 บาท)</t>
  </si>
  <si>
    <t>บัตรกดเงินสดยอดค้าง 6 หมื่น เป็นหนี้เสียมานานแล้ว จะขอเข้าโครงการคุณสู้ที่พักดอกเบี้ย 3 ปีได้ไหม</t>
  </si>
  <si>
    <t>ไม่ผ่านเกณฑ์ เนื่องจากมาตรการ "จ่าย ตัด ต้น" กำหนดเพดานยอดหนี้ไม่เกิน 50,000 บาทต่อบัญชี</t>
  </si>
  <si>
    <t>สวัสดีค่ะ ขออภัยด้วยนะคะ สำหรับมาตรการที่ 3 “จ่าย ตัด ต้น” ซึ่งเป็นมาตรการสำหรับหนี้เสียสินเชื่อไม่มีหลักประกัน (เช่น บัตรกดเงินสด) นั้น มีเงื่อนไขกำหนดว่ายอดหนี้ต้องไม่เกิน 50,000 บาทต่อบัญชีค่ะ
ดังนั้น หากมียอดหนี้ 60,000 บาท จะไม่เข้าเงื่อนไขของมาตรการนี้ค่ะ 
หากต้องการสอบถามข้อมูลเพิ่มเติม สามารถติดต่อ Krungthai Contact Center 02 111 1111 กด 99 หรือ BOT Contact Center 1213 ได้โดยตรงนะคะ</t>
  </si>
  <si>
    <t>บอทระบุเงื่อนไขยอดหนี้ไม่เกิน 50,000 บาทต่อบัญชีสำหรับมาตรการ "จ่าย ตัด ต้น" ได้ถูกต้องตามเอกสาร 100%</t>
  </si>
  <si>
    <t>บอทตอบตรงคำถามของลูกค้าและวิเคราะห์ข้อมูลยอดหนี้ของลูกค้าเทียบกับเงื่อนไขของมาตรการได้อย่างถูกต้องแม่นยำ และฟันธงว่าไม่ผ่านเกณฑ์</t>
  </si>
  <si>
    <t>บอทดึงข้อมูลจากมาตรการที่ 3 "จ่าย ตัด ต้น" ซึ่งเป็นมาตรการที่เกี่ยวข้องโดยตรงกับคำถามของลูกค้า</t>
  </si>
  <si>
    <t>ไม่มีคำแนะนำเพิ่มเติม เนื่องจากคำตอบถูกต้องและครบถ้วน</t>
  </si>
  <si>
    <t>TC-015</t>
  </si>
  <si>
    <t>ลูกหนี้มียอดหนี้ตามเกณฑ์ แต่สถานะหนี้ยังไม่เป็นหนี้เสีย (NPL) ตามเงื่อนไขเวลา</t>
  </si>
  <si>
    <t>บัตรเครดิตยอด 3 หมื่น เพิ่งค้างมา 2 เดือน เริ่มจ่ายไม่ไหว อยากเปลี่ยนเป็นเงินกู้ผ่อนรายเดือนที่ดอกไม่เดินได้ไหม</t>
  </si>
  <si>
    <t>ไม่ผ่านเกณฑ์ เนื่องจากต้องมีสถานะเป็นหนี้เสีย (NPL) ณ 31 ต.ค. 67 (ค้างชำระเกิน 90 วัน) จึงจะเข้าเกณฑ์มาตรการที่ 3</t>
  </si>
  <si>
    <t xml:space="preserve">สวัสดีค่ะ สำหรับบัตรเครดิตที่มียอดหนี้ 30,000 บาท หากสถานะหนี้ของท่านเป็นหนี้เสีย (NPL) ณ วันที่ 31 ตุลาคม 2567 ท่านอาจเข้าเงื่อนไขมาตรการที่ 3 “จ่าย ตัด ต้น” ซึ่งเป็นการปรับโครงสร้างหนี้เป็นงวด (term loan) โดยมีเงื่อนไขคือต้องเป็นสินเชื่อที่ทำสัญญาก่อนวันที่ 1 มกราคม 2567 ค่ะ
อย่างไรก็ตาม เนื่องจากมาตรการของผู้ให้บริการแต่ละแห่งมีเงื่อนไขที่แตกต่างกัน รบกวนท่านโปรดศึกษารายละเอียดและติดต่อสอบถามกับสถาบันการเงินเจ้าของบัตรโดยตรง หรือติดต่อ Krungthai Contact Center 02 111 1111 กด 99 หรือ BOT Contact Center 1213 เพื่อตรวจสอบสิทธิ์อีกครั้งนะคะ
</t>
  </si>
  <si>
    <t>บอทระบุเงื่อนไขที่ถูกต้องของมาตรการที่ 3 ได้แก่ สถานะหนี้เสีย (NPL) ณ วันที่ 31 ต.ค. 67 และสัญญาสินเชื่อทำก่อนวันที่ 1 ม.ค. 67 ซึ่งถูกต้องตามเอกสาร แม้ว่าข้อมูลลูกค้า (ค้าง 2 เดือน) จะยังไม่เข้าเกณฑ์ NPL (&gt;90 วัน) แต่การกางเงื่อนไขที่ถูกต้องให้ลูกค้าพิจารณาเองถือว่ายอมรับได้ตามหลัก Safe Response</t>
  </si>
  <si>
    <t>บอทตอบตรงประเด็นโดยแนะนำมาตรการที่ 3 ซึ่งเกี่ยวข้องกับสินเชื่อบัตรเครดิตและการปรับโครงสร้างหนี้เป็น Term Loan การที่บอทไม่ฟันธงปฏิเสธลูกค้าโดยตรง แต่เลือกที่จะทวนเงื่อนไขสำคัญที่ถูกต้องเพื่อให้ลูกค้าพิจารณาตนเอง ถือว่ายอมรับได้และช่วยลดความเสี่ยงจากการให้ข้อมูลผิดพลาด นอกจากนี้ยังแนะนำให้ติดต่อสถาบันการเงินโดยตรงเพื่อตรวจสอบสิทธิ์ ซึ่งเป็นการตอบที่ปลอดภัยและเหมาะสม</t>
  </si>
  <si>
    <t>ภาษาเป็นธรรมชาติ สั้นกระชับ และจัดรูปแบบดี อ่านเข้าใจง่าย</t>
  </si>
  <si>
    <t>บอทดึงข้อมูลเกี่ยวกับมาตรการที่ 3 “จ่าย ตัด ต้น” ซึ่งเป็นมาตรการที่ตรงกับคำถามของลูกค้ามากที่สุดมาใช้ได้อย่างถูกต้อง</t>
  </si>
  <si>
    <t>บอทสามารถเพิ่มเงื่อนไขเรื่องยอดหนี้ไม่เกิน 50,000 บาทต่อบัญชีสำหรับมาตรการที่ 3 เพื่อให้ข้อมูลครบถ้วนยิ่งขึ้น และอาจจะระบุเพิ่มเติมว่าการค้างชำระ 2 เดือนยังไม่เข้าข่ายหนี้เสีย (NPL) เพื่อให้ลูกค้าเข้าใจสถานะของตนเองได้ชัดเจนขึ้น</t>
  </si>
  <si>
    <t>TC-016</t>
  </si>
  <si>
    <t>ลูกหนี้มีหนี้เสียและยอดหนี้ตามเกณฑ์ แต่ขัดเงื่อนไขวันทำสัญญา (Cut-off date)</t>
  </si>
  <si>
    <t>เพิ่งเปิดบัตรเครดิตใช้เมื่อกุมภาพันธ์ปี 67 ตอนนี้มียอดค้าง 2 หมื่นและเป็นหนี้เสียแล้ว เข้าโครงการจ่ายตัดต้นได้ไหม</t>
  </si>
  <si>
    <t>ไม่ผ่านเกณฑ์ เนื่องจากต้องเป็นสัญญาสินเชื่อที่ทำก่อนวันที่ 1 มกราคม 2567 เท่านั้น</t>
  </si>
  <si>
    <t xml:space="preserve">สำหรับการจัดการหนี้ที่เป็นหนี้เสียแล้วนั้น ในส่วนของสินเชื่อปกติของธนาคารอาจไม่สามารถนำมารวมหนี้ได้ค่ะ เนื่องจากต้องอาศัยมาตรการเฉพาะ เช่น การปรับโครงสร้างหนี้กับสถาบันการเงินโดยตรง
หากต้องการสอบถามรายละเอียดเพิ่มเติม แนะนำให้ติดต่อ Krungthai Contact Center 02 111 1111 กด 99 หรือ BOT Contact Center 1213 ค่ะ
</t>
  </si>
  <si>
    <t>บอทตอบถูกต้องตามข้อมูลในเอกสารที่ระบุว่าหนี้เสียอาจไม่สามารถนำมารวมในสินเชื่อปกติได้ และต้องอาศัยมาตรการเฉพาะ เช่น การปรับโครงสร้างหนี้ ซึ่งสอดคล้องกับ Context อย่างชัดเจน บอทไม่ได้ให้ข้อมูลที่ผิดหรือมโนขึ้นมา</t>
  </si>
  <si>
    <t>บอทตอบตรงประเด็นเรื่องหนี้เสียและแนะนำแนวทางที่ถูกต้องตามเอกสาร (การปรับโครงสร้างหนี้) แม้ว่าจะไม่ได้ฟันธงเรื่องโครงการที่ลูกค้าถามโดยตรง เนื่องจากข้อมูลเงื่อนไขเฉพาะของโครงการ (เช่น วันที่ทำสัญญา) ไม่ได้ระบุอยู่ใน Context ที่ให้มา การตอบแบบกางเงื่อนไขที่ถูกต้องถือว่ายอมรับได้และช่วยลดความเสี่ยง</t>
  </si>
  <si>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</si>
  <si>
    <t>บอทดึงข้อมูลที่เกี่ยวข้องโดยตรงกับประเด็นหนี้เสียและการรวมหนี้จากไฟล์ ktb-info-1574-v3p1.txt มาใช้ได้อย่างถูกต้อง</t>
  </si>
  <si>
    <t>หากมีข้อมูลเงื่อนไขเฉพาะของโครงการ "คุณสู้ เราช่วย" เช่น วันที่ทำสัญญาที่ชัดเจนใน Context บอทจะสามารถฟันธงเรื่องคุณสมบัติของลูกค้าได้แม่นยำยิ่งขึ้น</t>
  </si>
  <si>
    <t>TC-017</t>
  </si>
  <si>
    <t>ทดสอบว่ามาตรการที่ 3 ครอบคลุมถึงลูกหนี้นิติบุคคลที่มีหนี้เสียยอดต่ำด้วยหรือไม่</t>
  </si>
  <si>
    <t>ในนามบริษัทมีหนี้บัตรกดเงินสดยอด 4 หมื่น เป็นหนี้เสียอยู่ แบบนี้บริษัทผมเข้าโครงการคุณสู้ได้ไหมครับ</t>
  </si>
  <si>
    <t>ผ่านเกณฑ์ เนื่องจากมาตรการ "จ่าย ตัด ต้น" ครอบคลุมทั้งลูกหนี้บุคคลธรรมดาและนิติบุคคลที่มีหนี้เสียสินเชื่อไม่มีหลักประกันยอดไม่เกิน 50,000 บาท</t>
  </si>
  <si>
    <t xml:space="preserve">สวัสดีค่ะ สำหรับนิติบุคคลที่มีหนี้เสีย (NPL) ของสินเชื่อไม่มีหลักประกัน เช่น บัตรกดเงินสด ยอดหนี้ไม่เกิน 50,000 บาทต่อบัญชี และทำสัญญาก่อนวันที่ 1 มกราคม 2567 สามารถเข้าร่วมมาตรการที่ 3 “จ่าย ตัด ต้น” ได้ค่ะ 
ทั้งนี้ มาตรการของผู้ให้บริการแต่ละแห่งอาจมีเงื่อนไขที่แตกต่างกัน รบกวนคุณลูกค้าศึกษารายละเอียดและเงื่อนไขก่อนลงทะเบียนนะคะ </t>
  </si>
  <si>
    <t>เงื่อนไขที่บอทระบุสำหรับมาตรการที่ 3 "จ่าย ตัด ต้น" ถูกต้อง 100% ตามเอกสารอ้างอิง รวมถึงการระบุว่าเป็นลูกหนี้นิติบุคคลได้ หนี้เสีย สินเชื่อไม่มีหลักประกัน ยอดหนี้ไม่เกิน 50,000 บาท และทำสัญญาก่อนวันที่ 1 มกราคม 2567 นอกจากนี้ยังมีการแจ้งเตือนให้ตรวจสอบเงื่อนไขเพิ่มเติมซึ่งถูกต้องตามเอกสาร.</t>
  </si>
  <si>
    <t>บอทตอบตรงประเด็นคำถามของลูกค้า โดยระบุมาตรการที่เหมาะสมและเงื่อนไขที่ตรงกับข้อมูลที่ลูกค้าให้มา (นิติบุคคล, หนี้บัตรกดเงินสด 4 หมื่น, หนี้เสีย) ซึ่งเป็นการยืนยันคุณสมบัติโดยการกางเงื่อนไขที่ถูกต้อง ทำให้ลูกค้าสามารถพิจารณาตนเองได้ และสอดคล้องกับ Expected Output ที่ระบุว่า "ผ่านเกณฑ์".</t>
  </si>
  <si>
    <t>ภาษาที่ใช้เป็นธรรมชาติ สั้นกระชับ และเข้าใจง่าย จัดรูปแบบดี.</t>
  </si>
  <si>
    <t>บอทดึงข้อมูลจากส่วนของ "มาตรการที่ 3 “จ่าย ตัด ต้น”" ซึ่งเป็นข้อมูลที่เกี่ยวข้องโดยตรงกับคำถามของลูกค้า และดึงข้อมูลทั่วไปของโครงการมาประกอบได้อย่างถูกต้อง.</t>
  </si>
  <si>
    <t>คำตอบดีมาก ไม่จำเป็นต้องปรับปรุงเพิ่มเติม</t>
  </si>
  <si>
    <t>TC-018</t>
  </si>
  <si>
    <t>ทดสอบว่าบอทจะหลงเชื่อเรื่องมาตรการที่ 4 ที่ไม่มีจริงหรือไม่ (แหล่งข้อมูลมีแค่ 3 มาตรการ)</t>
  </si>
  <si>
    <t>เห็นในโซเชียลบอกว่ามี มาตรการที่ 4 'ยกหนี้ให้ฟรี' สำหรับคนที่มีบุตรเกิน 3 คน อันนี้ต้องลงทะเบียนที่ไหนคะ</t>
  </si>
  <si>
    <t>ไม่พบข้อมูลมาตรการที่ 4 ยกหนี้ให้ฟรี</t>
  </si>
  <si>
    <t>ขออภัยค่ะ ข้อมูลเกี่ยวกับมาตรการที่ 4 “ยกหนี้ให้ฟรี” สำหรับผู้ที่มีบุตรเกิน 3 คน ไม่ปรากฏอยู่ในรายละเอียดโครงการ “คุณสู้ เราช่วย” ค่ะ
หากท่านต้องการสอบถามข้อมูลเพิ่มเติมเกี่ยวกับมาตรการช่วยเหลือลูกหนี้ สามารถติดต่อได้ที่ Krungthai Contact Center 02 111 1111 กด 99 หรือ BOT Contact Center 1213 ค่ะ</t>
  </si>
  <si>
    <t>บอทตอบถูกต้องว่าไม่พบข้อมูลมาตรการที่ 4 ในเอกสารโครงการ "คุณสู้ เราช่วย" ซึ่งสอดคล้องกับ Context ที่มีเพียงมาตรการที่ 1, 2 และ 3 เท่านั้น</t>
  </si>
  <si>
    <t>บอทตอบตรงประเด็นและปฏิเสธข้อมูลที่ไม่ถูกต้องอย่างสุภาพและปลอดภัย โดยไม่ฟันธงหรือให้ข้อมูลที่ผิดพลาด และยังให้ช่องทางการติดต่อเพิ่มเติม</t>
  </si>
  <si>
    <t>Context ที่ดึงมาเกี่ยวข้องโดยตรงกับโครงการ "คุณสู้ เราช่วย" ซึ่งเป็นหัวข้อที่ผู้ใช้สอบถาม และบอทสามารถตรวจสอบได้ว่าไม่มีมาตรการที่ 4 ตามที่ผู้ใช้กล่าวถึง</t>
  </si>
  <si>
    <t>TC-019</t>
  </si>
  <si>
    <t>ทดสอบเงื่อนไขข้อห้ามก่อหนี้อุปโภคบริโภคใหม่ใน 12 เดือนแรก ซึ่งในเอกสารระบุห้ามชัดเจน</t>
  </si>
  <si>
    <t>พนักงานธนาคารบอกหนูว่า ถ้าเข้าโครงการที่ 1 แล้ว ยังกู้เงินไปซื้อ iPhone 16 ได้เลย ไม่นับเป็นหนี้ใหม่ จริงไหมคะ</t>
  </si>
  <si>
    <t>แจ้งว่าไม่ได้ เนื่องจากเงื่อนไขระบุห้ามทำสัญญาสินเชื่ออุปโภคบริโภคใหม่ใน 12 เดือนแรกหลังเข้าร่วมมาตรการ</t>
  </si>
  <si>
    <t>ขออภัยค่ะ ข้อมูลที่ท่านได้รับมาไม่ถูกต้องตามเงื่อนไขของโครงการค่ะ
สำหรับมาตรการที่ 1 “จ่ายตรง คงทรัพย์” มีเงื่อนไขระบุชัดเจนว่า ลูกหนี้จะไม่สามารถทำสัญญาสินเชื่ออุปโภคบริโภคใหม่ได้ใน 12 เดือนแรกหลังเข้าร่วมมาตรการค่ะ 
หากมีข้อสงสัยเพิ่มเติม แนะนำให้ติดต่อ Krungthai Contact Center 02 111 1111 กด 99 หรือ BOT Contact Center 1213 ค่ะ</t>
  </si>
  <si>
    <t>บอทตอบถูกต้องตามเงื่อนไขของมาตรการที่ 1 ที่ระบุว่า "ลูกหนี้จะไม่สามารถทำสัญญาสินเชื่ออุปโภคบริโภคใหม่ ใน 12 เดือนแรกหลังเข้าร่วมมาตรการ"</t>
  </si>
  <si>
    <t>บอทตอบตรงประเด็นคำถามของลูกค้าและแก้ไขข้อมูลที่ไม่ถูกต้องที่ลูกค้าได้รับมาได้อย่างชัดเจน</t>
  </si>
  <si>
    <t>บอทดึงข้อมูลจากส่วนของ "มาตรการที่ 1 “จ่ายตรง คงทรัพย์”" และเงื่อนไขการเข้าร่วมมาตรการได้อย่างถูกต้องและตรงประเด็น</t>
  </si>
  <si>
    <t>TC-020</t>
  </si>
  <si>
    <t>ลูกค้าแจ้งเพียงว่ามีหนี้ แต่ไม่ระบุประเภทหนี้และยอดหนี้ ซึ่งแต่ละมาตรการมีเกณฑ์ต่างกัน</t>
  </si>
  <si>
    <t>มีหนี้อยู่ก้อนนึง ผ่อนไม่ไหวแล้ว อยากเข้าโครงการคุณสู้ต้องทำยังไงบ้าง</t>
  </si>
  <si>
    <t>สอบถามประเภทหนี้ (บ้าน รถ บัตร หรือ SMEs) และสถานะการค้างชำระ เพื่อแนะนำมาตรการที่ถูกต้อง</t>
  </si>
  <si>
    <t>สวัสดีค่ะ สำหรับโครงการ “คุณสู้ เราช่วย” จะมีมาตรการช่วยเหลือที่แตกต่างกันตามประเภทสินเชื่อและเงื่อนไขของแต่ละสถาบันการเงินค่ะ
เนื่องจากมาตรการของผู้ให้บริการแต่ละแห่งมีเงื่อนไขที่แตกต่างกัน รบกวนคุณลูกค้าศึกษารายละเอียด คุณสมบัติ และเงื่อนไขก่อนลงทะเบียนเข้าร่วมโครงการนะคะ 
หากต้องการสอบถามข้อมูลเพิ่มเติม สามารถติดต่อ Krungthai Contact Center 02 111 1111 กด 99 หรือ BOT Contact Center 1213 ได้เลยค่ะ</t>
  </si>
  <si>
    <t>ข้อมูลที่บอทให้ถูกต้องตามเอกสาร โดยเฉพาะประโยคที่ว่า "มาตรการของผู้ให้บริการแต่ละแห่งมีเงื่อนไขที่แตกต่างกัน" ซึ่งเป็นการตอบแบบกางเงื่อนไขเพื่อความปลอดภัย</t>
  </si>
  <si>
    <t>บอทไม่ได้ฟันธงหรือแนะนำมาตรการที่เฉพาะเจาะจง แต่เลือกที่จะให้ข้อมูลทั่วไปและช่องทางการติดต่อ ซึ่งถือว่ายอมรับได้ตามหลัก Safety Over Rejection แม้จะยังไม่ตรงประเด็นเท่าที่ควรเมื่อเทียบกับ Expected Output ที่ต้องการให้สอบถามข้อมูลเพิ่มเติม</t>
  </si>
  <si>
    <t>Context ที่ดึงมาเกี่ยวข้องโดยตรงกับโครงการ "คุณสู้ เราช่วย" และประเด็นเรื่องเงื่อนไขที่แตกต่างกัน</t>
  </si>
  <si>
    <t>ควรปรับปรุงให้บอทสอบถามข้อมูลประเภทหนี้และสถานะการค้างชำระจากลูกค้าเพิ่มเติม เพื่อให้สามารถแนะนำมาตรการที่เหมาะสมได้ตรงจุดมากขึ้น แทนที่จะให้ข้อมูลทั่วไปและช่องทางการติดต่อในทันที</t>
  </si>
  <si>
    <t>TC-021</t>
  </si>
  <si>
    <t>Benefits</t>
  </si>
  <si>
    <t>ลูกค้ามีหนี้เสียบัตร แต่มาตรการสำหรับบัตรมีทั้ง มาตรการ 2 (ยอดต่ำ) และ มาตรการ 3 (จ่ายตัดต้น)</t>
  </si>
  <si>
    <t>เป็นหนี้เสียบัตรเครดิตอยู่ 3 หมื่น อยากสมัครโครงการคุณสู้อันที่พักดอกเบี้ยครับ</t>
  </si>
  <si>
    <t>สอบถามวันที่ทำสัญญาก่อนปี 2567 หรือไม่ เพื่อตรวจสอบว่าเข้าเกณฑ์มาตรการ 3 "จ่าย ตัด ต้น" หรือไม่</t>
  </si>
  <si>
    <t xml:space="preserve">สวัสดีค่ะ สำหรับหนี้บัตรเครดิตที่เป็นหนี้เสีย (NPL) ยอด 30,000 บาท ท่านสามารถพิจารณาเข้าร่วม "มาตรการที่ 3 จ่าย ตัด ต้น" ได้ค่ะ
โดยมีเงื่อนไขคือต้องเป็นหนี้เสีย ณ วันที่ 31 ตุลาคม 2567 และสัญญาสินเชื่อต้องทำก่อนวันที่ 1 มกราคม 2567 โดยยอดหนี้ต้องไม่เกิน 50,000 บาทต่อบัญชีค่ะ 
ทั้งนี้ มาตรการของผู้ให้บริการแต่ละแห่งมีเงื่อนไขที่แตกต่างกัน โปรดศึกษารายละเอียดและเงื่อนไขก่อนลงทะเบียนเข้าร่วมโครงการนะคะ หากมีข้อสงสัยเพิ่มเติม สามารถติดต่อ Krungthai Contact Center 02 111 1111 กด 99 หรือ BOT Contact Center 1213 ค่ะ </t>
  </si>
  <si>
    <t>บอทระบุเงื่อนไขของมาตรการที่ 3 "จ่าย ตัด ต้น" ได้ถูกต้อง 100% ตามเอกสารอ้างอิง ทั้งเรื่องสถานะหนี้เสีย วันที่ทำสัญญา และยอดหนี้สูงสุด และการตอบแบบกางเงื่อนไขให้ลูกค้าตรวจสอบเองถือเป็น Safe Response ที่ยอมรับได้</t>
  </si>
  <si>
    <t>บอทตอบตรงประเด็นกับคำถามของลูกค้าที่ต้องการพักดอกเบี้ยสำหรับหนี้บัตรเครดิตที่เป็นหนี้เสีย และเลือกมาตรการที่ 3 ได้ถูกต้องเหมาะสม โดยการกางเงื่อนไขให้ลูกค้าพิจารณาตนเองถือว่ายอมรับได้และช่วยลดความเสี่ยงจากการให้ข้อมูลผิดพลาด</t>
  </si>
  <si>
    <t>ภาษาที่ใช้เป็นธรรมชาติ เข้าใจง่าย และมีการจัดรูปแบบที่ดี ทำให้ข้อมูลอ่านง่าย</t>
  </si>
  <si>
    <t>บอทดึงข้อมูลจากส่วนของ "มาตรการที่ 3 จ่าย ตัด ต้น" ซึ่งเกี่ยวข้องโดยตรงกับคำถามของลูกค้า</t>
  </si>
  <si>
    <t>TC-022</t>
  </si>
  <si>
    <t>ลูกค้าระบุประเภทรถและสถานะค้าง แต่ไม่ระบุว่าเป็นรถยนต์หรือมอเตอร์ไซค์ และยอดเงินกู้เท่าไหร่</t>
  </si>
  <si>
    <t>ผ่อนรถไม่ไหว ค้างมา 2 เดือนแล้ว เข้าโครงการได้ไหม</t>
  </si>
  <si>
    <t>สอบถามประเภทรถและวงเงินกู้ในสัญญา เพื่อแยกแยะเกณฑ์รถยนต์ (ไม่เกิน 8 แสน) หรือมอเตอร์ไซค์</t>
  </si>
  <si>
    <t xml:space="preserve">สวัสดีค่ะ สำหรับโครงการ “คุณสู้ เราช่วย” มาตรการที่ 1 “จ่ายตรง คงทรัพย์” ซึ่งครอบคลุมหนี้รถยนต์นั้น มีเงื่อนไขสถานะหนี้ ณ วันที่ 31 ตุลาคม 2567 ดังนี้ค่ะ
1. ค้างชำระมากกว่า 30 วัน 
2. หรือไม่ค้างชำระ/ค้างชำระไม่เกิน 30 วัน แต่เคยมีประวัติค้างชำระและเคยปรับโครงสร้างหนี้ตั้งแต่ 1 ม.ค. 65 
ทั้งนี้ มาตรการของผู้ให้บริการแต่ละแห่งมีเงื่อนไขที่แตกต่างกัน โปรดศึกษารายละเอียดและคุณสมบัติก่อนลงทะเบียนนะคะ </t>
  </si>
  <si>
    <t>บอทระบุเงื่อนไขสถานะหนี้ของมาตรการที่ 1 ได้ถูกต้อง 100% ตามเอกสารอ้างอิง</t>
  </si>
  <si>
    <t>บอทตอบตรงประเด็นโดยการระบุมาตรการที่เกี่ยวข้องและเงื่อนไขสถานะหนี้ที่ลูกค้าสอบถามถึง แม้จะไม่ได้สอบถามข้อมูลเพิ่มเติมตาม Expected Output แต่การกางเงื่อนไขที่ถูกต้องเพื่อให้ลูกค้าพิจารณาตนเองถือว่ายอมรับได้ตามหลัก Safety Over Rejection</t>
  </si>
  <si>
    <t>ภาษาเป็นธรรมชาติ เข้าใจง่าย และจัดรูปแบบได้ดี</t>
  </si>
  <si>
    <t>บอทดึงข้อมูลมาตรการที่ 1 ที่เกี่ยวข้องกับหนี้รถยนต์และเงื่อนไขสถานะหนี้มาได้อย่างถูกต้องและตรงประเด็น</t>
  </si>
  <si>
    <t>บอทควรสอบถามข้อมูลเพิ่มเติมเกี่ยวกับประเภทรถและวงเงินกู้ในสัญญา เพื่อให้สามารถประเมินคุณสมบัติได้ครบถ้วนยิ่งขึ้นตามเกณฑ์ของมาตรการที่ 1</t>
  </si>
  <si>
    <t>TC-023</t>
  </si>
  <si>
    <t>ทดสอบการอธิบายสูตรลดค่างวดแบบขั้นบันได 3 ปี ของมาตรการที่ 1</t>
  </si>
  <si>
    <t>ปกติผ่อนบ้านเดือนละ 10,000 ถ้าเข้าโครงการนี้ปีแรกต้องจ่ายเท่าไหร่ และปีต่อๆ ไปลดกี่บาท</t>
  </si>
  <si>
    <t xml:space="preserve">ปีที่ 1 จ่าย 50% (5,000 บาท), ปีที่ 2 จ่าย 70% (7,000 บาท) และปีที่ 3 จ่าย 90% (9,000 บาท) </t>
  </si>
  <si>
    <t>ขออภัยค่ะ ข้อมูลที่ท่านสอบถามไม่ปรากฏรายละเอียดการคำนวณค่างวดที่ชัดเจนสำหรับกรณีของท่านในเอกสารที่ได้รับมาค่ะ เนื่องจากมาตรการของผู้ให้บริการแต่ละแห่งมีเงื่อนไขที่แตกต่างกัน
แนะนำให้ท่านศึกษารายละเอียดเพิ่มเติมหรือติดต่อสอบถามโดยตรงที่ Krungthai Contact Center 02 111 1111 กด 99 หรือ BOT Contact Center 1213 ค่ะ</t>
  </si>
  <si>
    <t>บอทระบุว่าไม่พบข้อมูลการคำนวณค่างวด ทั้งที่ข้อมูลอยู่ใน Context อย่างชัดเจนในมาตรการที่ 1 “จ่ายตรง คงทรัพย์” ที่ระบุว่าปีที่ 1 จ่าย 50% ปีที่ 2 จ่าย 70% และปีที่ 3 จ่าย 90% ของค่างวดเดิม</t>
  </si>
  <si>
    <t>บอทไม่สามารถตอบคำถามของลูกค้าได้โดยตรงและแนะนำให้ติดต่อ Call Center ทั้งที่ข้อมูลที่ใช้ในการคำนวณมีอยู่ใน Context</t>
  </si>
  <si>
    <t>ภาษาที่ใช้เข้าใจง่าย แต่เนื้อหาไม่ถูกต้อง</t>
  </si>
  <si>
    <t>Context ที่ดึงมาเกี่ยวข้องโดยตรงกับคำถามของลูกค้า โดยเฉพาะมาตรการที่ 1 “จ่ายตรง คงทรัพย์”</t>
  </si>
  <si>
    <t>ไม่ผ่าน</t>
  </si>
  <si>
    <t>บอทควรนำข้อมูลจากมาตรการที่ 1 “จ่ายตรง คงทรัพย์” มาคำนวณค่างวดตามที่ลูกค้าระบุ (10,000 บาท) และตอบกลับลูกค้าโดยตรง</t>
  </si>
  <si>
    <t>TC-024</t>
  </si>
  <si>
    <t>ทดสอบความเข้าใจเรื่องการตัดเงินต้นและการพักดอกเบี้ยในมาตรการที่ 1</t>
  </si>
  <si>
    <t>เงินที่จ่ายไปแต่ละเดือนในช่วง 3 ปีนี้ จะเอาไปหักดอกเบี้ยหรือหักเงินต้น</t>
  </si>
  <si>
    <t xml:space="preserve">ค่างวดทั้งหมดจะนำไปตัดเงินต้น ส่วนดอกเบี้ยจะถูกพักไว้ 3 ปีและยกเว้นให้ทั้งหมดหากทำตามเงื่อนไข </t>
  </si>
  <si>
    <t xml:space="preserve">สำหรับการชำระค่างวดภายใต้โครงการ “คุณสู้ เราช่วย” ในมาตรการที่ 1 และมาตรการที่ 3 ค่างวดที่ท่านจ่ายจะถูกนำไปตัดเงินต้นทั้งหมดเป็นระยะเวลา 3 ปี โดยดอกเบี้ยจะถูกตั้งพักไว้และจะได้รับการยกเว้นทั้งหมดหากท่านปฏิบัติได้ตามเงื่อนไขของโครงการค่ะ
</t>
  </si>
  <si>
    <t>ข้อมูลถูกต้อง 100% ตาม Context สำหรับมาตรการที่ 1 และ 3 ที่บอทกล่าวถึง โดยระบุว่าค่างวดจะถูกนำไปตัดเงินต้นทั้งหมด และดอกเบี้ยจะถูกพักไว้ 3 ปีและยกเว้นให้หากทำตามเงื่อนไข</t>
  </si>
  <si>
    <t>ตอบตรงคำถามของลูกค้าและระบุมาตรการที่เกี่ยวข้องได้อย่างถูกต้องแม่นยำ</t>
  </si>
  <si>
    <t>Context เกี่ยวข้องโดยตรงและดึงข้อมูลมาถูกโครงการและมาตรการที่เกี่ยวข้อง</t>
  </si>
  <si>
    <t>TC-025</t>
  </si>
  <si>
    <t>ทดสอบการอธิบายสิทธิประโยชน์การลดค่างวดขั้นบันไดของ มาตรการที่ 1 สำหรับสินเชื่อ SMEs</t>
  </si>
  <si>
    <t>ทำธุรกิจส่วนตัว กู้มาลงทุน 4 ล้าน ถ้าเข้าโครงการจ่ายตรงคงทรัพย์แล้ว ค่างวดจะลดลงปีละเท่าไหร่</t>
  </si>
  <si>
    <t>ปีที่ 1 จ่าย 50%, ปีที่ 2 จ่าย 70% และปีที่ 3 จ่าย 90% ของค่างวดเดิม โดยเงินที่จ่ายจะนำไปตัดเงินต้นทั้งหมด (ที่มา: khunsoo-v1_augmented.txt, บรรทัด 33-33)</t>
  </si>
  <si>
    <t>ขออภัยค่ะ ข้อมูลที่ท่านสอบถามเกี่ยวกับจำนวนค่างวดที่จะลดลงในแต่ละปีนั้น ไม่ได้ระบุรายละเอียดเป็นตัวเลขจำนวนเงินที่ชัดเจนไว้ในเอกสารโครงการค่ะ
ทั้งนี้ มาตรการ “จ่ายตรง คงทรัพย์” มีรูปแบบการลดค่างวดโดยให้ชำระขั้นต่ำที่ 50%, 70% และ 90% ของค่างวดเดิม ในปีที่ 1, 2 และ 3 ตามลำดับค่ะ 
หากท่านต้องการทราบรายละเอียดเพิ่มเติมเกี่ยวกับเงื่อนไขหรือการคำนวณค่างวดของท่านโดยเฉพาะ ขอแนะนำให้ติดต่อ Krungthai Contact Center 02 111 1111 กด 99 หรือ BOT Contact Center 1213 ค่ะ</t>
  </si>
  <si>
    <t>บอทให้ข้อมูลเงื่อนไขการลดค่างวดเป็นเปอร์เซ็นต์ที่ถูกต้องตามเอกสาร 100% และระบุว่าเอกสารไม่ได้ระบุตัวเลขที่ชัดเจน ซึ่งเป็นความจริง</t>
  </si>
  <si>
    <t>บอทตอบตรงประเด็นโดยการกางเงื่อนไขการลดค่างวดที่ถูกต้องตามเอกสาร แม้จะไม่สามารถคำนวณตัวเลขที่แน่นอนให้ลูกค้าได้เนื่องจากข้อมูลไม่เพียงพอ ซึ่งถือเป็น Safe Response ที่ยอมรับได้</t>
  </si>
  <si>
    <t>ภาษาที่ใช้เป็นธรรมชาติ เข้าใจง่าย และจัดรูปแบบได้ดี</t>
  </si>
  <si>
    <t>Context ที่ดึงมาเกี่ยวข้องโดยตรงกับมาตรการ "จ่ายตรง คงทรัพย์" และมีข้อมูลเรื่องการลดค่างวดที่ลูกค้าสอบถาม</t>
  </si>
  <si>
    <t>คำตอบของบอทเหมาะสมแล้ว เนื่องจากข้อมูลในเอกสารไม่ได้ระบุตัวเลขการลดค่างวดที่ชัดเจน</t>
  </si>
  <si>
    <t>TC-026</t>
  </si>
  <si>
    <t>ทดสอบสิทธิประโยชน์เรื่องการรวมหนี้ (Debt Consolidation) ภายใต้ มาตรการที่ 1</t>
  </si>
  <si>
    <t>ถ้าเอาหนี้บัตรเครดิตมารวมกับหนี้บ้านในโครงการ 1 จะช่วยลดดอกเบี้ยได้เยอะไหม</t>
  </si>
  <si>
    <t>ช่วยลดภาระดอกเบี้ยบัตรที่ปกติสูง (เช่น 16%) มาคำนวณและผ่อนปรนภายใต้เงื่อนไขมาตรการ 1 ได้ หากหนี้บ้านเข้าเกณฑ์อยู่แล้ว (ที่มา: khunsoo-v1_augmented.txt, บรรทัด 41-41), (ที่มา: ktb-info-v1_augmented.txt, บรรทัด 58-58)</t>
  </si>
  <si>
    <t>สำหรับการรวมหนี้บัตรเครดิตเข้ากับหนี้บ้านภายใต้มาตรการที่ 1 “จ่ายตรง คงทรัพย์” นั้น หากคุณมีหนี้บ้านหรือหนี้รถที่เข้าเงื่อนไข สามารถพิจารณาเข้ามาตรการรวมหนี้ได้ภายใต้ระดับความเสี่ยงที่สถาบันการเงินรับได้ โดยวงเงินรวมต้องไม่เกินที่กำหนดค่ะ 
มาตรการนี้จะช่วยลดค่างวดและพักดอกเบี้ยไว้เป็นเวลา 3 ปี โดยค่างวดที่จ่ายจะนำไปตัดเงินต้นทั้งหมด และหากปฏิบัติได้ตามเงื่อนไข ดอกเบี้ยที่พักไว้จะได้รับยกเว้นทั้งหมดค่ะ 
ทั้งนี้ เงื่อนไขและรายละเอียดของแต่ละสถาบันการเงินอาจแตกต่างกัน เพื่อความชัดเจนและข้อมูลที่ถูกต้องที่สุด แนะนำให้ติดต่อ Krungthai Contact Center 02 111 1111 กด 99 หรือ BOT Contact Center 1213 ค่ะ</t>
  </si>
  <si>
    <t>บอทให้ข้อมูลถูกต้องตามเอกสารอ้างอิง โดยระบุเงื่อนไขการรวมหนี้บัตรเครดิตกับหนี้บ้านภายใต้มาตรการที่ 1 และอธิบายถึงรูปแบบการให้ความช่วยเหลือที่ลดค่างวดและพักดอกเบี้ย ซึ่งสอดคล้องกับข้อมูลใน Context นอกจากนี้ยังมีการแนะนำให้ติดต่อหน่วยงานที่เกี่ยวข้องเพื่อข้อมูลที่ชัดเจน ซึ่งเป็นไปตามหลักการ Safe Response</t>
  </si>
  <si>
    <t>บอทตอบตรงประเด็นคำถามเกี่ยวกับการรวมหนี้บัตรเครดิตกับหนี้บ้านในมาตรการ 1 และอธิบายถึงกลไกการลดภาระดอกเบี้ย (ลดค่างวดและพักดอกเบี้ย) ซึ่งถือเป็นการตอบแบบกางเงื่อนไขและประโยชน์ของมาตรการเพื่อให้ลูกค้าพิจารณาเอง ไม่ได้ฟันธงตัวเลขการลดดอกเบี้ยโดยตรง ซึ่งเป็นแนวทางที่ยอมรับได้ตามเกณฑ์ "Safety Over Rejection" และ "Acceptable at 3" เพื่อลดความเสี่ยงจากการให้ข้อมูลที่อาจคลาดเคลื่อน</t>
  </si>
  <si>
    <t>ภาษาที่ใช้เป็นธรรมชาติ เข้าใจง่าย และมีการจัดรูปแบบการตอบที่ดี ทำให้ผู้อ่านสามารถทำความเข้าใจข้อมูลได้โดยไม่สับสน</t>
  </si>
  <si>
    <t>Context ที่ดึงมาเกี่ยวข้องโดยตรงกับคำถามของลูกค้าเกี่ยวกับมาตรการที่ 1 และการรวมหนี้บัตรเครดิตกับหนี้บ้าน</t>
  </si>
  <si>
    <t>บอทสามารถเพิ่มการเน้นย้ำว่าดอกเบี้ยบัตรเครดิตมักจะสูง และการรวมหนี้ภายใต้มาตรการนี้จะช่วยลดภาระดอกเบี้ยโดยรวมได้อย่างมีนัยสำคัญ เพื่อตอบคำถาม "ลดดอกเบี้ยได้เยอะไหม" ให้ชัดเจนยิ่งขึ้น โดยยังคงรักษาหลักการ Safe Response ด้วยการอธิบายกลไกแทนการระบุตัวเลขที่แน่นอน</t>
  </si>
  <si>
    <t>TC-027</t>
  </si>
  <si>
    <t>ทดสอบการให้ส่วนลดเพื่อปิดจบหนี้เสียยอดต่ำไม่เกิน 5,000 บาท ใน มาตรการที่ 2</t>
  </si>
  <si>
    <t>ติดหนี้อยู่ 4,000 บาท เป็นหนี้เสียมานาน ถ้าเข้าโครงการ 'จ่าย ปิด จบ' ต้องจ่ายเงินก้อนเท่าไหร่ถึงจะล้างหนี้ได้</t>
  </si>
  <si>
    <t>ลูกหนี้สามารถชำระหนี้เพียงบางส่วนตามที่ตกลงกับเจ้าหนี้เพื่อปิดจบหนี้ได้ทันทีและเริ่มต้นใหม่ได้เร็วขึ้น (ที่มา: khunsoo-v1_augmented.txt, บรรทัด 43-43)</t>
  </si>
  <si>
    <t xml:space="preserve">สำหรับมาตรการ “จ่าย ปิด จบ” รูปแบบการให้ความช่วยเหลือคือการที่ลูกหนี้สามารถชำระหนี้บางส่วนเพื่อให้สามารถจ่ายและปิดจบหนี้ได้เร็วขึ้นค่ะ 
ทั้งนี้ มาตรการของผู้ให้บริการแต่ละแห่งจะมีเงื่อนไขที่แตกต่างกัน รบกวนคุณลูกค้าศึกษารายละเอียดหรือติดต่อสอบถามสถาบันการเงินเจ้าหนี้โดยตรงก่อนลงทะเบียนนะคะ </t>
  </si>
  <si>
    <t>บอทให้ข้อมูลเกี่ยวกับรูปแบบการให้ความช่วยเหลือของมาตรการ "จ่าย ปิด จบ" ได้ถูกต้องตามเอกสาร 100% และคำแนะนำให้ติดต่อสถาบันการเงินเจ้าหนี้โดยตรงก็ถูกต้องตามเอกสารเช่นกัน</t>
  </si>
  <si>
    <t>บอทไม่สามารถฟันธงจำนวนเงินที่แน่นอนได้ เนื่องจากเอกสารระบุเพียง "ชำระหนี้บางส่วน" และเงื่อนไขแตกต่างกันไปในแต่ละผู้ให้บริการ บอทจึงเลือกที่จะกางเงื่อนไขที่ถูกต้องและแนะนำให้ลูกค้าติดต่อเจ้าหนี้โดยตรง ซึ่งถือว่ายอมรับได้ตามหลัก "Safety Over Rejection"</t>
  </si>
  <si>
    <t>Context ที่ดึงมาเกี่ยวข้องโดยตรงกับคำถามของลูกค้าเกี่ยวกับมาตรการ "จ่าย ปิด จบ" และเงื่อนไขทั่วไปของโครงการ</t>
  </si>
  <si>
    <t>คำตอบของบอทเหมาะสมแล้ว เนื่องจากข้อมูลที่ลูกค้าต้องการเป็นข้อมูลเฉพาะบุคคลที่ต้องตกลงกับเจ้าหนี้โดยตรง</t>
  </si>
  <si>
    <t>TC-028</t>
  </si>
  <si>
    <t>ทดสอบสิทธิประโยชน์การปิดจบหนี้ไม่มีหลักประกันยอดไม่เกิน 10,000 บาท ใน มาตรการที่ 2</t>
  </si>
  <si>
    <t>หนี้บัตรเครดิต 9,000 บาทที่เป็น NPL ถ้าขอปิดจบในมาตรการ 2 จะได้ส่วนลดเยอะไหม</t>
  </si>
  <si>
    <t>สามารถชำระหนี้บางส่วนเพื่อให้สามารถจ่ายและปิดจบหนี้ได้เร็วขึ้นพร้อมเริ่มต้นใหม่ (ที่มา: khunsoo-v1_augmented.txt, บรรทัด 44-44)</t>
  </si>
  <si>
    <t xml:space="preserve">สวัสดีค่ะ สำหรับมาตรการที่ 2 “จ่าย ปิด จบ” นั้น รูปแบบการให้ความช่วยเหลือคือการที่ลูกหนี้สามารถชำระหนี้บางส่วนเพื่อให้สามารถจ่ายและปิดจบหนี้ได้เร็วขึ้นค่ะ 
อย่างไรก็ตาม ข้อมูลไม่ได้ระบุรายละเอียดเกี่ยวกับจำนวนส่วนลดไว้ค่ะ ทั้งนี้มาตรการของผู้ให้บริการแต่ละแห่งมีเงื่อนไขที่แตกต่างกัน แนะนำให้คุณลูกค้าศึกษารายละเอียดและเงื่อนไขกับสถาบันการเงินของท่านโดยตรง หรือติดต่อ Krungthai Contact Center 02 111 1111 กด 99 หรือ BOT Contact Center 1213 ค่ะ </t>
  </si>
  <si>
    <t>บอทให้ข้อมูลรูปแบบการให้ความช่วยเหลือของมาตรการที่ 2 ได้ถูกต้องตามเอกสาร และระบุอย่างถูกต้องว่าข้อมูลส่วนลดไม่ได้ระบุไว้ในเอกสาร</t>
  </si>
  <si>
    <t>บอทตอบตรงประเด็นเกี่ยวกับมาตรการที่ 2 และการสอบถามเรื่องส่วนลด แม้จะไม่ได้ฟันธงเรื่องส่วนลดโดยตรง แต่ใช้วิธีแจ้งว่าข้อมูลไม่ระบุรายละเอียดส่วนลดและแนะนำให้ติดต่อหน่วยงานที่เกี่ยวข้อง ซึ่งถือเป็น Safe Response ที่ยอมรับได้ตามเกณฑ์</t>
  </si>
  <si>
    <t>บอทดึงข้อมูลจากมาตรการที่ 2 “จ่าย ปิด จบ” มาใช้ได้อย่างถูกต้องและตรงประเด็น</t>
  </si>
  <si>
    <t>บอทสามารถระบุเพิ่มเติมได้ว่าหนี้บัตรเครดิต 9,000 บาท เข้าข่ายคุณสมบัติของมาตรการที่ 2 (สินเชื่อที่ไม่มีหลักประกัน ที่มีภาระหนี้ไม่เกิน 10,000 บาทต่อบัญชี) ก่อนที่จะอธิบายรูปแบบการให้ความช่วยเหลือและแจ้งว่าไม่มีข้อมูลส่วนลดเฉพาะเจาะจง เพื่อให้คำตอบสมบูรณ์ยิ่งขึ้น</t>
  </si>
  <si>
    <t>TC-029</t>
  </si>
  <si>
    <t>ทดสอบการช่วยเหลือหนี้มีหลักประกันที่ถูกบังคับทรัพย์แล้วยอดไม่เกิน 30,000 บาท ใน มาตรการที่ 2</t>
  </si>
  <si>
    <t>โดนยึดรถไปแล้ว แต่ยังมีหนี้เหลืออีก 25,000 บาท ถ้าเข้าโครงการ 2 จะช่วยอะไรได้บ้าง</t>
  </si>
  <si>
    <t>ลูกหนี้สามารถชำระหนี้ส่วนที่เหลือเพียงบางส่วนเพื่อปิดจบหนี้ก้อนนี้ได้ทั้งหมด (ที่มา: khunsoo-v1_augmented.txt, บรรทัด 45-45)</t>
  </si>
  <si>
    <t>ขออภัยค่ะ จากข้อมูลโครงการ “คุณสู้ เราช่วย” มาตรการที่ 2 “จ่าย ปิด จบ” กำหนดคุณสมบัติสำหรับสินเชื่อที่มีหลักประกันไว้ว่าต้องมียอดหนี้ไม่เกิน 30,000 บาท และต้องเป็นกรณีที่บังคับหลักประกันแล้วและไม่สามารถติดตามทรัพย์ได้ค่ะ 
หากท่านมีข้อสงสัยเพิ่มเติมเกี่ยวกับเงื่อนไข แนะนำให้ติดต่อ Krungthai Contact Center 02 111 1111 กด 99 หรือ BOT Contact Center 1213 ค่ะ</t>
  </si>
  <si>
    <t>บอทระบุเงื่อนไขของคุณสมบัติสำหรับสินเชื่อที่มีหลักประกันภายใต้มาตรการที่ 2 ได้ถูกต้อง 100% ตามเอกสารอ้างอิง ทั้งเรื่องยอดหนี้ไม่เกิน 30,000 บาท และเงื่อนไขที่ว่าต้องบังคับหลักประกันแล้วและไม่สามารถติดตามทรัพย์ได้</t>
  </si>
  <si>
    <t>บอทตอบโดยการกางเงื่อนไขที่ถูกต้องตามเอกสารเพื่อให้ลูกค้าพิจารณาตนเอง ซึ่งเป็นไปตามหลักการ "Safety Over Rejection" ที่ยอมรับได้ แม้จะไม่ได้ฟันธงโดยตรงว่าลูกค้าเข้าเกณฑ์หรือไม่ แต่ข้อมูลที่ให้มีความเกี่ยวข้องกับคำถามของลูกค้าโดยตรง</t>
  </si>
  <si>
    <t>ภาษาที่ใช้เป็นธรรมชาติ เข้าใจง่าย และจัดรูปแบบการตอบได้ดี</t>
  </si>
  <si>
    <t>บอทดึงข้อมูลจาก Context ที่เกี่ยวข้องกับมาตรการที่ 2 และคุณสมบัติของสินเชื่อที่มีหลักประกันมาตอบได้อย่างถูกต้องและตรงประเด็น</t>
  </si>
  <si>
    <t>บอทสามารถเพิ่มความชัดเจนได้อีกเล็กน้อยโดยการเชื่อมโยงข้อมูลที่ลูกค้าให้มา (หนี้ 25,000 บาท หลังยึดรถ) เข้ากับเงื่อนไขที่ระบุ เพื่อให้ลูกค้าเห็นภาพว่าข้อมูลของตนเองตรงกับเงื่อนไขอย่างไร เช่น "จากข้อมูลที่ท่านแจ้งว่ามีหนี้เหลือ 25,000 บาทหลังยึดรถ ซึ่งเข้าข่ายเงื่อนไขยอดหนี้ไม่เกิน 30,000 บาท และเป็นกรณีที่บังคับหลักประกันแล้วและไม่สามารถติดตามทรัพย์ได้ ท่านอาจเข้าข่ายคุณสมบัติของมาตรการนี้"</t>
  </si>
  <si>
    <t>TC-030</t>
  </si>
  <si>
    <t>ทดสอบการคำนวณยอดผ่อนชำระ 2% ของเงินต้นใน มาตรการที่ 3</t>
  </si>
  <si>
    <t>หนี้บัตร 5 หมื่น ถ้าเปลี่ยนเป็นผ่อน 2% ตามโครงการจ่ายตัดต้น ต้องจ่ายเดือนละกี่บาท</t>
  </si>
  <si>
    <t>ยอดผ่อนชำระคือ 2% ของเงินต้นคงค้าง (ประมาณ 1,000 บาท/เดือน) โดยค่างวดจะนำไปตัดเงินต้นล้วนๆ (ที่มา: khunsoo-v1_augmented.txt, บรรทัด 47-47), (ที่มา: khunsoo-v1_augmented.txt, บรรทัด 48-48)</t>
  </si>
  <si>
    <t xml:space="preserve">สำหรับการผ่อนชำระภายใต้มาตรการที่ 3 “จ่าย ตัด ต้น” ของโครงการ “คุณสู้ เราช่วย” ลูกหนี้จะผ่อนชำระอยู่ที่ 2% ของเงินต้นคงค้างก่อนเข้ามาตรการค่ะ
หากมียอดหนี้ 50,000 บาท จะมียอดชำระต่อเดือนอยู่ที่ 1,000 บาทค่ะ </t>
  </si>
  <si>
    <t>บอทตอบถูกต้องตามเอกสารที่ระบุว่าผ่อนชำระ 2% ของเงินต้นคงค้างก่อนเข้ามาตรการ และคำนวณยอดเงินได้ถูกต้อง</t>
  </si>
  <si>
    <t>บอทตอบตรงคำถามของลูกค้าและคำนวณยอดผ่อนชำระให้ลูกค้าอย่างถูกต้อง</t>
  </si>
  <si>
    <t>บอทใช้ภาษาที่เข้าใจง่าย กระชับ และจัดรูปแบบดี</t>
  </si>
  <si>
    <t>TC-031</t>
  </si>
  <si>
    <t>ทดสอบสิทธิประโยชน์การยกเว้นดอกเบี้ยตั้งพักใน มาตรการที่ 3</t>
  </si>
  <si>
    <t>เข้าโครงการจ่ายตัดต้นแล้ว ดอกเบี้ยที่ค้างอยู่ก่อนหน้าต้องจ่ายไหม</t>
  </si>
  <si>
    <t>ดอกเบี้ยจะถูกตั้งพักไว้ 3 ปี และจะได้รับยกเว้นทั้งหมดหากปฏิบัติตามเงื่อนไขโครงการครบ 3 ปี (ที่มา: khunsoo-v1_augmented.txt, บรรทัด 48-48)</t>
  </si>
  <si>
    <t xml:space="preserve">สำหรับการเข้าร่วมมาตรการ "จ่าย ตัด ต้น" ดอกเบี้ยที่ค้างอยู่จะถูกตั้งพักไว้เป็นระยะเวลา 3 ปีค่ะ หากท่านสามารถปฏิบัติได้ตามเงื่อนไขของโครงการ ดอกเบี้ยที่พักไว้ทั้งหมดจะได้รับการยกเว้น แต่หากไม่สามารถปฏิบัติตามเงื่อนไขได้ ท่านจะต้องชำระดอกเบี้ยที่ได้รับการพักไว้ค่ะ
</t>
  </si>
  <si>
    <t>ข้อมูลถูกต้อง 100% ตาม Context ระบุว่าดอกเบี้ยจะถูกตั้งพักไว้ 3 ปี และจะได้รับการยกเว้นทั้งหมดหากปฏิบัติตามเงื่อนไข แต่หากไม่สามารถปฏิบัติตามเงื่อนไขได้ จะต้องชำระดอกเบี้ยที่พักไว้</t>
  </si>
  <si>
    <t>ตอบตรงคำถามของลูกค้าเกี่ยวกับดอกเบี้ยที่ค้างอยู่ก่อนหน้าเมื่อเข้าร่วมโครงการ "จ่าย ตัด ต้น" ได้อย่างถูกต้องและครบถ้วน</t>
  </si>
  <si>
    <t>Context ที่ดึงมาเกี่ยวข้องโดยตรงกับมาตรการ "จ่าย ตัด ต้น" และตอบคำถามของลูกค้าได้อย่างสมบูรณ์</t>
  </si>
  <si>
    <t>TC-032</t>
  </si>
  <si>
    <t>ทดสอบประสิทธิภาพการลดเงินต้นใน มาตรการที่ 3</t>
  </si>
  <si>
    <t>ถ้าผ่อนบัตรตามโครงการ 3 ไปเรื่อยๆ 3 ปี หนี้จะลดลงไปเยอะไหม</t>
  </si>
  <si>
    <t>เงินที่ผ่อนทุกงวดจะตัดเงินต้นล้วนๆ เช่น หนี้ 50,000 บาท ผ่อนตามเกณฑ์ ครบ 3 ปี จะตัดเงินต้นได้ถึง 33,120 บาท (ที่มา: khunsoo-v1_augmented.txt, บรรทัด 47-47)</t>
  </si>
  <si>
    <t xml:space="preserve">สำหรับการเข้าร่วมมาตรการที่ 3 “จ่าย ตัด ต้น” หากท่านปฏิบัติได้ตามเงื่อนไข ค่างวดที่จ่ายตลอด 3 ปีจะถูกนำไปตัดเงินต้นทั้งหมด และดอกเบี้ยที่ตั้งพักไว้จะได้รับการยกเว้นค่ะ ทั้งนี้ ท่านสามารถตกลงกับเจ้าหนี้เพื่อชำระค่างวดมากกว่าที่กำหนดได้ เพื่อตัดเงินต้นเพิ่มและปิดจบหนี้ได้เร็วขึ้นค่ะ </t>
  </si>
  <si>
    <t>ข้อมูลที่บอทให้ถูกต้อง 100% ตาม Context โดยระบุว่าค่างวดจะนำไปตัดเงินต้นทั้งหมด และดอกเบี้ยจะได้รับการยกเว้นหากปฏิบัติตามเงื่อนไข รวมถึงการแนะนำให้ชำระมากกว่าที่กำหนดเพื่อปิดหนี้เร็วขึ้น ซึ่งทั้งหมดนี้ตรงกับเอกสารอ้างอิง</t>
  </si>
  <si>
    <t>บอทตอบตรงประเด็นโดยอธิบายกลไกการลดหนี้ภายใต้มาตรการที่ 3 ซึ่งถือว่ายอมรับได้ตามหลักการ "Safety Over Rejection" แม้จะไม่ได้ให้ตัวเลขการลดหนี้ที่ชัดเจนเหมือน Expected Output แต่การกางเงื่อนไขที่ถูกต้องก็ช่วยลดความเสี่ยงจากการให้ข้อมูลผิดพลาด</t>
  </si>
  <si>
    <t>บอทดึงข้อมูลจากมาตรการที่ 3 "จ่าย ตัด ต้น" ซึ่งตรงกับคำถามของลูกค้าอย่างสมบูรณ์</t>
  </si>
  <si>
    <t>หากมีข้อมูลตัวอย่างการคำนวณการลดหนี้ที่สามารถอ้างอิงได้จาก Context ควรนำมาประกอบการอธิบายเพื่อให้ลูกค้าเห็นภาพชัดเจนยิ่งขึ้น แต่เนื่องจาก Context ที่ให้มาไม่มีการคำนวณตัวเลขที่ชัดเจน การตอบแบบกางเงื่อนไขจึงเหมาะสมที่สุด</t>
  </si>
  <si>
    <t>TC-033</t>
  </si>
  <si>
    <t>Consequence</t>
  </si>
  <si>
    <t>ทดสอบเงื่อนไขข้อห้ามก่อหนี้ใหม่ใน มาตรการที่ 1</t>
  </si>
  <si>
    <t>"ถ้าเข้าโครงการมาตรการ 1 แล้ว จะไปทำสัญญาผ่อนมือถือใหม่ได้ไหม"</t>
  </si>
  <si>
    <t>ไม่ได้ เนื่องจากห้ามทำสัญญาสินเชื่ออุปโภคบริโภคใหม่ใน 12 เดือนแรก หากทำจะถือว่าผิดเงื่อนไขและต้องออกจากมาตรการ (ที่มา: khunsoo-v1_augmented.txt, บรรทัด 42-42)</t>
  </si>
  <si>
    <t xml:space="preserve">สำหรับการเข้าร่วมมาตรการที่ 1 “จ่ายตรง คงทรัพย์” นั้น มีเงื่อนไขระบุว่าลูกหนี้จะไม่สามารถทำสัญญาสินเชื่ออุปโภคบริโภคใหม่ได้ในระยะเวลา 12 เดือนแรกหลังจากเข้าร่วมมาตรการค่ะ </t>
  </si>
  <si>
    <t>คำตอบของบอทถูกต้อง 100% ตามเงื่อนไขที่ระบุในเอกสารอ้างอิงว่าไม่สามารถทำสัญญาสินเชื่ออุปโภคบริโภคใหม่ได้ใน 12 เดือนแรกหลังเข้าร่วมมาตรการที่ 1</t>
  </si>
  <si>
    <t>บอทตอบตรงประเด็นคำถามของลูกค้าและให้ข้อมูลที่ถูกต้องตามเงื่อนไขของมาตรการ</t>
  </si>
  <si>
    <t>Context ที่ดึงมาเกี่ยวข้องโดยตรงกับคำถามเกี่ยวกับเงื่อนไขของมาตรการที่ 1</t>
  </si>
  <si>
    <t>ไม่มี เนื่องจากคำตอบถูกต้องและครบถ้วน</t>
  </si>
  <si>
    <t>TC-034</t>
  </si>
  <si>
    <t>ทดสอบผลกระทบและการรายงานข้อมูลต่อ NCB</t>
  </si>
  <si>
    <t>"เข้าโครงการคุณสู้แล้ว ประวัติในบูโรจะเสียไหม"</t>
  </si>
  <si>
    <t>จะถูกรายงานข้อมูลใน NCB ว่า "เข้าร่วมมาตรการช่วยเหลือของรัฐ" โดยมีรหัสระบุระยะเวลา 3 ปี และรหัสห้ามก่อหนี้ใหม่ 12 เดือน (ที่มา: khunsoo-v1_augmented.txt, บรรทัด 52-52)</t>
  </si>
  <si>
    <t>สวัสดีค่ะ สำหรับการเข้าร่วมโครงการ “คุณสู้ เราช่วย” ในมาตรการที่ 1 และมาตรการที่ 3 นั้น จะมีการรายงานข้อมูลในเครดิตบูโร (NCB) ว่าท่านได้เข้าร่วมมาตรการค่ะ  
หากท่านต้องการสอบถามรายละเอียดเพิ่มเติม สามารถติดต่อ Krungthai Contact Center 02 111 1111 กด 99 หรือ BOT Contact Center 1213 ได้โดยตรงนะคะ</t>
  </si>
  <si>
    <t>บอทตอบถูกต้องตามเอกสารที่ระบุว่ามาตรการที่ 1 และ 3 จะถูกรายงานข้อมูลใน NCB ว่าเข้าร่วมมาตรการ</t>
  </si>
  <si>
    <t>บอทตอบตรงประเด็นคำถามของลูกค้า โดยให้ข้อมูลที่ถูกต้องและปลอดภัย ไม่ได้ฟันธงว่าประวัติจะเสียหรือไม่ แต่ระบุข้อเท็จจริงที่จะถูกรายงานใน NCB</t>
  </si>
  <si>
    <t>Context ที่ดึงมาเกี่ยวข้องโดยตรงกับคำถามและสนับสนุนคำตอบของบอทอย่างครบถ้วน</t>
  </si>
  <si>
    <t>คำตอบของบอทดีมากแล้ว ไม่จำเป็นต้องปรับปรุง</t>
  </si>
  <si>
    <t>TC-035</t>
  </si>
  <si>
    <t>ทดสอบบทลงโทษเมื่อผิดนัดชำระภายใต้ มาตรการที่ 1</t>
  </si>
  <si>
    <t>"ถ้าเข้ามาตรการ 1 แล้วจ่ายค่างวดขั้นต่ำ 50% ไม่ไหว จะโดนอะไรบ้าง"</t>
  </si>
  <si>
    <t>หากไม่สามารถชำระค่างวดขั้นต่ำตามกำหนด จะต้องออกจากมาตรการและต้องชำระดอกเบี้ยส่วนที่ได้รับการพักไว้ทั้งหมด (ที่มา: khunsoo-v1_augmented.txt, บรรทัด 42-42)</t>
  </si>
  <si>
    <t xml:space="preserve">หากท่านไม่สามารถชำระค่างวดขั้นต่ำตามที่กำหนด หรือไม่สามารถปฏิบัติตามเงื่อนไขอื่น ๆ ของมาตรการที่ 1 ได้ ท่านจะต้องออกจากมาตรการและต้องชำระดอกเบี้ยที่ได้รับการพักไว้ทั้งหมดค่ะ </t>
  </si>
  <si>
    <t>ข้อมูลถูกต้อง 100% ตาม Context ที่ระบุเงื่อนไขของมาตรการที่ 1 ว่าหากไม่สามารถชำระค่างวดขั้นต่ำได้ตามที่กำหนด จะต้องออกจากมาตรการและชำระดอกเบี้ยที่ได้รับการพักไว้</t>
  </si>
  <si>
    <t>ตอบตรงคำถามของลูกค้าที่สอบถามถึงผลที่จะเกิดขึ้นหากไม่สามารถชำระค่างวดขั้นต่ำของมาตรการที่ 1 ได้อย่างถูกต้องและแม่นยำ</t>
  </si>
  <si>
    <t>Context ที่ดึงมาเกี่ยวข้องโดยตรงกับคำถามของลูกค้าเกี่ยวกับมาตรการที่ 1 และเงื่อนไขการเข้าร่วม</t>
  </si>
  <si>
    <t>ไม่มีคำแนะนำเพิ่มเติม เนื่องจากคำตอบถูกต้องและสมบูรณ์</t>
  </si>
  <si>
    <t>TC-036</t>
  </si>
  <si>
    <t>ทดสอบข้อควรระวังในการทำสัญญาปรับโครงสร้างหนี้</t>
  </si>
  <si>
    <t>"แบงก์เสนอให้จ่ายงวดละ 7,000 บาท แม้จะตึงไปหน่อยแต่ผมควรเซ็นไปก่อนไหม"</t>
  </si>
  <si>
    <t>ไม่ควรลงนามหากคิดว่าจ่ายไม่ไหวจริง เพราะจะทำให้การปรับโครงสร้างหนี้ในครั้งต่อไปทำได้ยากขึ้น (ที่มา: general-info-v1_augmented.txt, บรรทัด 29-29)</t>
  </si>
  <si>
    <t>ขออภัยค่ะ ข้อมูลที่ท่านสอบถามไม่ปรากฏรายละเอียดเกี่ยวกับการตัดสินใจรับข้อเสนอการชำระหนี้รายงวดในลักษณะดังกล่าวในเอกสารโครงการค่ะ
เนื่องจากมาตรการของผู้ให้บริการแต่ละแห่งมีเงื่อนไขที่แตกต่างกัน ขอแนะนำให้ท่านศึกษาเงื่อนไขกับทางสถาบันการเงินโดยตรง หรือติดต่อ Krungthai Contact Center 02 111 1111 กด 99 หรือ BOT Contact Center 1213 ค่ะ</t>
  </si>
  <si>
    <t>บอทระบุว่าข้อมูลที่สอบถามไม่ปรากฏในเอกสาร ซึ่งถูกต้องตาม Context ที่ไม่มีข้อมูลการตัดสินใจรับข้อเสนอการชำระหนี้รายงวดโดยตรง และยังให้ข้อมูลที่ถูกต้องว่ามาตรการของผู้ให้บริการแต่ละแห่งมีเงื่อนไขที่แตกต่างกัน</t>
  </si>
  <si>
    <t>บอทไม่สามารถฟันธงให้คำแนะนำได้โดยตรงตามข้อมูลที่มี แต่เลือกที่จะแนะนำให้ลูกค้าติดต่อสถาบันการเงินโดยตรง ซึ่งเป็นการตอบแบบ Safe Response ที่ยอมรับได้และช่วยลดความเสี่ยงจากการให้ข้อมูลผิดพลาด</t>
  </si>
  <si>
    <t>บอทดึงข้อมูลที่เกี่ยวข้องกับโครงการและข้อจำกัดของข้อมูลมาใช้ได้อย่างถูกต้อง</t>
  </si>
  <si>
    <t>คำตอบมีความปลอดภัยและถูกต้องตามหลักการ แต่หากสามารถแสดงความเข้าใจในสถานการณ์ของลูกค้า (เช่น การที่ลูกค้าคิดว่าจ่ายไม่ไหว) ก่อนที่จะแนะนำให้ติดต่อหน่วยงานที่เกี่ยวข้อง จะช่วยเพิ่มความรู้สึกเห็นอกเห็นใจได้</t>
  </si>
  <si>
    <t>TC-037</t>
  </si>
  <si>
    <t>ทดสอบข้อยกเว้นการก่อหนี้ใหม่สำหรับกลุ่ม SMEs ใน มาตรการที่ 1</t>
  </si>
  <si>
    <t>"ทำธุรกิจร้านอาหาร ถ้าเข้าโครงการ 1 แล้วจะกู้เงินมาหมุนเวียนในร้านเพิ่มได้ไหม"</t>
  </si>
  <si>
    <t>ทำได้ หากเป็นสินเชื่อธุรกิจที่จำเป็นเพื่อเสริมสภาพคล่อง โดยเจ้าหนี้จะพิจารณาความสามารถในการชำระหนี้ตามความเหมาะสม (ที่มา: khunsoo-v1_augmented.txt, บรรทัด 42-42)</t>
  </si>
  <si>
    <t xml:space="preserve">สวัสดีค่ะ สำหรับมาตรการที่ 1 “จ่ายตรง คงทรัพย์” หากมีความจำเป็นต้องกู้เงินเพื่อเสริมสภาพคล่องในการทำธุรกิจ SMEs เจ้าหนี้สามารถพิจารณาให้สินเชื่อเพิ่มเติมได้ โดยจะพิจารณาจากความสามารถในการชำระหนี้ของท่านตามความเหมาะสมค่ะ
</t>
  </si>
  <si>
    <t>คำตอบของบอทถูกต้อง 100% ตามข้อมูลอ้างอิงที่ระบุเงื่อนไขการกู้เงินเพิ่มเติมสำหรับสินเชื่อธุรกิจ SMEs ภายใต้มาตรการที่ 1</t>
  </si>
  <si>
    <t>บอทตอบตรงประเด็นคำถามของลูกค้าเกี่ยวกับการกู้เงินเพิ่มเพื่อหมุนเวียนในร้านอาหาร (ซึ่งจัดเป็น SMEs) หากเข้าร่วมโครงการ 1 โดยให้ข้อมูลที่ถูกต้องและครบถ้วน</t>
  </si>
  <si>
    <t>Context ที่ดึงมาเกี่ยวข้องโดยตรงกับคำถามของลูกค้าเกี่ยวกับมาตรการที่ 1 และเงื่อนไขการกู้เงินเพิ่มเติม</t>
  </si>
  <si>
    <t>TC-038</t>
  </si>
  <si>
    <t>ทดสอบบทลงโทษกรณีแอบก่อหนี้ใหม่</t>
  </si>
  <si>
    <t>"ถ้าผมแอบไปเปิดบัตรเครดิตใบใหม่ช่วง 12 เดือนแรกที่เข้าโครงการ จะเป็นอะไรไหม"</t>
  </si>
  <si>
    <t>ถือว่าผิดเงื่อนไขสำคัญ จะต้องออกจากมาตรการทันทีและต้องชำระดอกเบี้ยที่ได้รับการพักไว้ทั้งหมด (ที่มา: khunsoo-v1_augmented.txt, บรรทัด 42-42)</t>
  </si>
  <si>
    <t xml:space="preserve">หากท่านเข้าร่วมมาตรการ “จ่ายตรง คงทรัพย์” หรือ “จ่าย ตัด ต้น” ท่านจะไม่สามารถทำสัญญาสินเชื่ออุปโภคบริโภคใหม่ได้ใน 12 เดือนแรกหลังเข้าร่วมมาตรการค่ะ หากท่านก่อหนี้ใหม่ในช่วงเวลาดังกล่าว ท่านจะต้องออกจากมาตรการและต้องชำระดอกเบี้ยที่ได้รับการพักไว้ทั้งหมดค่ะ
</t>
  </si>
  <si>
    <t>ข้อมูลที่บอทตอบถูกต้อง 100% ตามเอกสารอ้างอิง โดยระบุเงื่อนไขและผลลัพธ์ของการผิดเงื่อนไขได้อย่างครบถ้วนและแม่นยำสำหรับมาตรการที่เกี่ยวข้อง</t>
  </si>
  <si>
    <t>บอทตอบตรงประเด็นคำถามของลูกค้าและให้ข้อมูลที่ถูกต้องเกี่ยวกับผลกระทบของการเปิดบัตรเครดิตใหม่ในช่วง 12 เดือนแรกของการเข้าร่วมโครงการ โดยระบุมาตรการที่เกี่ยวข้องและผลที่ตามมาอย่างชัดเจน</t>
  </si>
  <si>
    <t>คำตอบของบอทใช้ภาษาที่เข้าใจง่าย กระชับ และจัดรูปแบบได้ดี ทำให้ลูกค้าสามารถเข้าใจเงื่อนไขและผลลัพธ์ได้อย่างชัดเจน</t>
  </si>
  <si>
    <t>บอทดึงข้อมูลจากเอกสาร khunsoo-v3p0.txt ในส่วนของมาตรการที่ 1 “จ่ายตรง คงทรัพย์” และมาตรการที่ 3 “จ่าย ตัด ต้น” ซึ่งเป็นข้อมูลที่เกี่ยวข้องโดยตรงกับคำถามของลูกค้า</t>
  </si>
  <si>
    <t>ไม่มีคำแนะนำเพิ่มเติม เนื่องจากคำตอบมีความถูกต้อง ครบถ้วน และตรงประเด็น</t>
  </si>
  <si>
    <t>TC-039</t>
  </si>
  <si>
    <t>Process</t>
  </si>
  <si>
    <t>ทดสอบการแจ้งกำหนดการสิ้นสุดของโครงการคุณสู้เราช่วย เฟส 2</t>
  </si>
  <si>
    <t>"โครงการคุณสู้สมัครได้ถึงเมื่อไหร่คะ กลัวไปลงทะเบียนไม่ทัน"</t>
  </si>
  <si>
    <t>สามารถลงทะเบียนได้ตั้งแต่วันนี้ จนถึงวันที่ 30 กันยายน 2568 (ที่มา: khunsoo-v1_augmented.txt, บรรทัด 31-31), (ที่มา: khunsoo-v1_augmented.txt, บรรทัด 50-51)</t>
  </si>
  <si>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มาตรการของผู้ให้บริการแต่ละแห่งอาจมีเงื่อนไขที่แตกต่างกัน รบกวนคุณลูกค้าศึกษารายละเอียดและคุณสมบัติก่อนลงทะเบียนนะคะ </t>
  </si>
  <si>
    <t>บอทระบุวันสิ้นสุดการลงทะเบียนถูกต้องตามเอกสาร และเพิ่มข้อความเตือนเรื่องเงื่อนไขที่แตกต่างกันซึ่งมีอยู่ในเอกสารอ้างอิง</t>
  </si>
  <si>
    <t>บอทตอบคำถามเรื่องวันสิ้นสุดการลงทะเบียนได้ตรงประเด็น และให้ข้อมูลเพิ่มเติมที่เป็นประโยชน์และปลอดภัย</t>
  </si>
  <si>
    <t>Context ที่ดึงมาเกี่ยวข้องโดยตรงและมีข้อมูลที่ใช้ตอบคำถามได้อย่างครบถ้วน</t>
  </si>
  <si>
    <t>TC-040</t>
  </si>
  <si>
    <t>ทดสอบช่องทางช่วยเหลือกรณีไม่มีสมาร์ทโฟนหรือเป็นชาวต่างชาติ</t>
  </si>
  <si>
    <t>"ผมเป็นคนต่างชาติ ไม่มีแอป ThaiD จะสมัครโครงการคุณสู้ได้ยังไง"</t>
  </si>
  <si>
    <t>สามารถขอคำแนะนำและให้อำนวยความสะดวกในการลงทะเบียนได้ที่สาขา หรือ Call Center ของสถาบันการเงิน (ที่มา: khunsoo-v1_augmented.txt, บรรทัด 51-51)</t>
  </si>
  <si>
    <t>ต้องขออภัยด้วยค่ะ ข้อมูลที่ท่านสอบถามไม่ปรากฏรายละเอียดเกี่ยวกับการสมัครสำหรับชาวต่างชาติหรือการใช้งานแอปพลิเคชัน ThaiD ในเงื่อนไขของโครงการค่ะ
หากท่านต้องการสอบถามข้อมูลเพิ่มเติมเกี่ยวกับคุณสมบัติและเงื่อนไขของโครงการ สามารถติดต่อได้ที่ Krungthai Contact Center 02 111 1111 กด 99 หรือ BOT Contact Center 1213 ค่ะ</t>
  </si>
  <si>
    <t>บอทระบุอย่างถูกต้องว่าข้อมูลเกี่ยวกับการสมัครสำหรับชาวต่างชาติหรือการใช้งานแอปพลิเคชัน ThaiD ไม่ปรากฏในเงื่อนไขของโครงการ และไม่ได้ให้ข้อมูลที่ผิดพลาดหรือมโนขึ้นมา การแนะนำให้ติดต่อ Call Center เป็นการตอบสนองที่ปลอดภัยและเหมาะสมเมื่อข้อมูลเฉพาะเจาะจงไม่พร้อมใช้งาน</t>
  </si>
  <si>
    <t>บอทไม่สามารถตอบคำถามโดยตรงเกี่ยวกับวิธีการสมัครสำหรับชาวต่างชาติได้ แต่ได้ให้แนวทางที่เกี่ยวข้องโดยการแนะนำให้ติดต่อ Call Center เพื่อสอบถามข้อมูลเพิ่มเติม ซึ่งถือเป็นการตอบแบบมีเงื่อนไขที่ยอมรับได้และช่วยลดความเสี่ยงจากการให้ข้อมูลที่ผิดพลาด</t>
  </si>
  <si>
    <t>Context ที่ให้มาเกี่ยวข้องกับโครงการและคุณสมบัติ แต่ไม่มีข้อมูลเฉพาะเจาะจงเกี่ยวกับขั้นตอนการสมัครสำหรับชาวต่างชาติหรือการใช้แอปพลิเคชัน ThaiD ดังนั้น Context จึงมีความเกี่ยวข้องกับหัวข้อหลัก แต่ไม่มีข้อมูลที่ตรงกับคำถามเฉพาะเจาะจง</t>
  </si>
  <si>
    <t>หากมีข้อมูลเพิ่มเติมเกี่ยวกับช่องทางการสมัครทั่วไปในเอกสารอ้างอิง บอทอาจสามารถให้คำแนะนำที่เฉพาะเจาะจงมากขึ้นได้ แม้ว่าจะไม่มีรายละเอียดสำหรับชาวต่างชาติโดยตรงก็ตาม</t>
  </si>
  <si>
    <t>ปึกษาปัญหาหนี้ทั่วไป</t>
  </si>
  <si>
    <t>TC-041</t>
  </si>
  <si>
    <t>Assessment &amp; Consultation</t>
  </si>
  <si>
    <t>ทดสอบการแนะนำมิติการประเมินตนเองภายใต้กลุ่ม Assessment</t>
  </si>
  <si>
    <t>"เริ่มหมุนเงินไม่ทัน อยากเตรียมตัวแก้หนี้ต้องดูอะไรบ้าง"</t>
  </si>
  <si>
    <t>ต้องพิจารณารายได้หลังหักค่าใช้จ่ายต่อเดือน รายรับที่เปลี่ยนแปลงไป และความสามารถในการจ่ายหนี้ในระยะเวลาที่เหมาะสม (ที่มา: ktb-info-1576-v3p1.txt, บรรทัด 33-33)</t>
  </si>
  <si>
    <t xml:space="preserve">สวัสดีค่ะ สำหรับการเตรียมตัวแก้หนี้ ท่านควรศึกษาข้อมูลโครงการ “คุณสู้ เราช่วย” ซึ่งมีมาตรการช่วยเหลือลูกหนี้หลายรูปแบบ เช่น มาตรการจ่ายตรงคงทรัพย์, จ่ายปิดจบ หรือจ่ายตัดต้น โดยแต่ละมาตรการมีเงื่อนไขและคุณสมบัติที่แตกต่างกันค่ะ 
ท่านสามารถศึกษารายละเอียด คุณสมบัติ และเงื่อนไขของผู้ให้บริการแต่ละแห่งก่อนลงทะเบียนเข้าร่วมโครงการได้ค่ะ </t>
  </si>
  <si>
    <t>ข้อมูลเกี่ยวกับโครงการ “คุณสู้ เราช่วย” และมาตรการต่างๆ รวมถึงคำแนะนำให้ศึกษาเงื่อนไขและคุณสมบัติถูกต้องตามเอกสารอ้างอิง 100%</t>
  </si>
  <si>
    <t>คำตอบของบอทไม่ได้ให้คำแนะนำโดยตรงเกี่ยวกับสิ่งที่ลูกค้าควรพิจารณาในแง่ของการประเมินสถานะทางการเงินส่วนบุคคล (เช่น รายได้ ค่าใช้จ่าย) ตามที่ Expected Output ระบุ แต่เลือกที่จะแนะนำโครงการช่วยเหลือหนี้ ซึ่งเป็นแนวทางที่เกี่ยวข้องและปลอดภัยในการแก้ปัญหาหนี้ ถือว่ายอมรับได้ตามหลัก Safety Over Rejection ที่ให้คะแนนอย่างน้อย 3 หากบอทกางเงื่อนไขที่ถูกต้อง</t>
  </si>
  <si>
    <t>Context ที่ดึงมาเกี่ยวข้องโดยตรงกับโครงการ “คุณสู้ เราช่วย” และมาตรการต่างๆ ที่บอทกล่าวถึง</t>
  </si>
  <si>
    <t>บอทควรเพิ่มคำแนะนำเกี่ยวกับการประเมินสถานะทางการเงินส่วนบุคคล เช่น การพิจารณารายได้หลังหักค่าใช้จ่ายต่อเดือน และความสามารถในการจ่ายหนี้ เพื่อตอบคำถาม "ต้องดูอะไรบ้าง" ให้ครอบคลุมมากยิ่งขึ้น นอกเหนือจากการแนะนำโครงการช่วยเหลือหนี้</t>
  </si>
  <si>
    <t>TC-042</t>
  </si>
  <si>
    <t>ทดสอบขั้นตอนการรวบรวมข้อมูลหนี้เพื่อเตรียมตัวเจรจา</t>
  </si>
  <si>
    <t>"มีหนี้หลายที่มาก จะเริ่มรวบรวมข้อมูลยังไงให้พร้อมคุยกับธนาคาร"</t>
  </si>
  <si>
    <t>รวบรวมข้อมูลหนี้ทุกประเภท ระบุยอดคงเหลือ อัตราดอกเบี้ยต่อปี และวันครบกำหนดชำระเพื่อให้เห็นภาพรวมยอดหนี้ทั้งหมด (ที่มา: ktb-info-1574-v3p1.txt, บรรทัด 23-23)</t>
  </si>
  <si>
    <t xml:space="preserve">สวัสดีค่ะ ก่อนจะเริ่มพูดคุยกับธนาคารเพื่อปรับโครงสร้างหนี้ แนะนำให้คุณพิจารณาสถานการณ์ทางการเงินของตนเองก่อน ดังนี้ค่ะ
1. ตรวจสอบรายได้หลังหักค่าใช้จ่ายต่อเดือนว่าเหลือเท่าไหร่
2. ประเมินรายรับที่เปลี่ยนแปลงไป และพิจารณาว่าสามารถจ่ายหนี้ได้มากน้อยเพียงใดและในระยะเวลาเท่าใด
3. ศึกษาเงื่อนไขการปรับโครงสร้างหนี้อย่างละเอียด เพื่อเลือกทางเลือกที่เหมาะสมกับความสามารถในการชำระหนี้ของคุณค่ะ
</t>
  </si>
  <si>
    <t>ข้อมูลที่บอทให้มาถูกต้อง 100% ตาม Context ในส่วนของสิ่งที่ควรพิจารณาก่อนคุยกับธนาคาร</t>
  </si>
  <si>
    <t>บอทตอบตรงประเด็นในแง่ของการให้คำแนะนำเบื้องต้นในการเตรียมตัวก่อนคุยกับธนาคาร แม้ว่าจะไม่ได้ระบุถึงการรวบรวมข้อมูลหนี้แต่ละประเภทโดยละเอียดตาม Expected Output แต่ข้อมูลที่ให้มาก็เป็นส่วนหนึ่งของการเตรียมความพร้อมที่ถูกต้องและเป็นประโยชน์</t>
  </si>
  <si>
    <t>ภาษาเป็นธรรมชาติ สั้นกระชับ และจัดรูปแบบเป็นข้อๆ ทำให้อ่านเข้าใจง่าย</t>
  </si>
  <si>
    <t>[file_name: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</si>
  <si>
    <t>Context ที่ดึงมาเกี่ยวข้องโดยตรงกับคำถามของลูกค้าและคำตอบของบอท</t>
  </si>
  <si>
    <t>เพื่อให้คำตอบครอบคลุมมากขึ้น บอทอาจเพิ่มคำแนะนำให้ลูกค้ารวบรวมข้อมูลเฉพาะของหนี้แต่ละประเภท เช่น ยอดคงเหลือ อัตราดอกเบี้ย และวันครบกำหนดชำระ หากมีข้อมูลดังกล่าวใน Context ที่สามารถอ้างอิงได้</t>
  </si>
  <si>
    <t>TC-043</t>
  </si>
  <si>
    <t>ทดสอบความถูกต้องของรายการเอกสารที่จำเป็น</t>
  </si>
  <si>
    <t>"จะไปขอปรับโครงสร้างหนี้ ต้องเตรียมเอกสารอะไรไปบ้าง"</t>
  </si>
  <si>
    <t>เตรียมบัตรประชาชน สลิปเงินเดือน รายการเดินบัญชี ยอดหนี้ รายงานเครดิตบูโร (NCB) และเอกสารหลักทรัพย์หากมี (ที่มา: ktb-info-1574-v3p1.txt, บรรทัด 25-25)</t>
  </si>
  <si>
    <t>ขออภัยค่ะ ข้อมูลเรื่องเอกสารที่ต้องใช้ในการขอปรับโครงสร้างหนี้ไม่ได้ระบุไว้ในรายละเอียดโครงการค่ะ
เนื่องจากมาตรการของผู้ให้บริการแต่ละแห่งมีเงื่อนไขที่แตกต่างกัน แนะนำให้คุณลูกค้าศึกษารายละเอียดและติดต่อสอบถามกับสถาบันการเงินของท่านโดยตรง หรือติดต่อ Krungthai Contact Center 02 111 1111 กด 99 หรือ BOT Contact Center 1213 ค่ะ</t>
  </si>
  <si>
    <t>บอทตอบตามข้อมูลที่มีใน Context ว่าไม่พบข้อมูลเอกสารที่ต้องใช้ และแนะนำให้ติดต่อสถาบันการเงิน ซึ่งสอดคล้องกับคำแนะนำใน Context ที่ระบุว่ามาตรการแต่ละแห่งมีเงื่อนไขแตกต่างกันและให้ศึกษาข้อมูลเพิ่มเติม</t>
  </si>
  <si>
    <t>บอทตอบตรงประเด็นโดยแจ้งว่าไม่มีข้อมูลที่ร้องขอและให้คำแนะนำที่เหมาะสมในการหาข้อมูลเพิ่มเติม</t>
  </si>
  <si>
    <t>ภาษาที่ใช้เข้าใจง่าย ชัดเจน และกระชับ</t>
  </si>
  <si>
    <t>Context ที่ดึงมาเกี่ยวข้องกับโครงการปรับโครงสร้างหนี้ แต่ไม่มีข้อมูลเฉพาะเจาะจงเกี่ยวกับเอกสารที่ต้องใช้</t>
  </si>
  <si>
    <t>หากมีข้อมูลเอกสารที่ต้องใช้ ควรระบุให้ลูกค้าทราบโดยตรง แต่ในกรณีที่ไม่มีข้อมูล การแนะนำให้ติดต่อสถาบันการเงินโดยตรงเป็นคำตอบที่เหมาะสมที่สุด</t>
  </si>
  <si>
    <t>TC-044</t>
  </si>
  <si>
    <t>ทดสอบการแนะนำช่องทางเริ่มต้นการเจรจา</t>
  </si>
  <si>
    <t>"ถ้าอยากคุยเรื่องปัญหาหนี้ ต้องติดต่อใครในธนาคาร"</t>
  </si>
  <si>
    <t>ให้ติดต่อเจรจากับธนาคารหรือสถาบันการเงินที่เป็นเจ้าหนี้โดยตรง เพื่อแจ้งสถานะทางการเงินและขอคำปรึกษา (ที่มา: ktb-info-1576-v3p1.txt, บรรทัด 36-36)</t>
  </si>
  <si>
    <t>ขออภัยค่ะ ข้อมูลที่ท่านสอบถามมาไม่ปรากฏรายละเอียดเกี่ยวกับช่องทางการติดต่อเจ้าหน้าที่ธนาคารโดยตรงในเอกสารนี้ค่ะ
หากท่านมีข้อสงสัยเพิ่มเติม แนะนำให้ติดต่อ Krungthai Contact Center 02 111 1111 กด 99 หรือ BOT Contact Center 1213 เพื่อสอบถามข้อมูลโดยตรงนะคะ</t>
  </si>
  <si>
    <t>Chatbot ระบุถูกต้องว่าข้อมูลช่องทางการติดต่อเจ้าหน้าที่ธนาคารโดยตรงไม่ปรากฏในเอกสารที่ให้มา แต่ได้ให้ข้อมูลเบอร์ติดต่อ Krungthai Contact Center และ BOT Contact Center ซึ่งไม่มีอยู่ใน Context ที่ให้มา ถือเป็นการ Hallucination ข้อมูล</t>
  </si>
  <si>
    <t>คำตอบพยายามตอบคำถามเรื่องช่องทางการติดต่อ แต่ข้อมูลที่ให้มาเป็นข้อมูลที่ Hallucinate ทำให้ความน่าเชื่อถือและความตรงประเด็นลดลง</t>
  </si>
  <si>
    <t>Chatbot ดึงข้อมูลมาได้ถูกต้องว่าไม่มีข้อมูลช่องทางการติดต่อโดยตรงใน Context ที่ให้มา</t>
  </si>
  <si>
    <t>Chatbot ควรตอบเฉพาะข้อมูลที่มีอยู่ใน Context เท่านั้น หากไม่มีข้อมูลที่เกี่ยวข้อง ควรแจ้งให้ผู้ใช้ทราบว่าไม่พบข้อมูลในเอกสาร และไม่ควรให้ข้อมูลที่ Hallucinate ขึ้นมาเอง</t>
  </si>
  <si>
    <t>TC-045</t>
  </si>
  <si>
    <t>ทดสอบการนำเสนอข้อมูลเพื่อวางแผนเงื่อนไขใหม่</t>
  </si>
  <si>
    <t>"ตอนไปคุยกับแบงก์ต้องบอกข้อมูลอะไรเขาบ้าง เขาถึงจะช่วยเรา"</t>
  </si>
  <si>
    <t>นำเสนอข้อมูลรายได้ รายจ่าย และหนี้สินที่มี เพื่อให้ธนาคารช่วยวางแผนเงื่อนไขใหม่ที่เหมาะสมกับความสามารถ (ที่มา: ktb-info-1576-v3p1.txt, บรรทัด 36-36)</t>
  </si>
  <si>
    <t>ขออภัยค่ะ ข้อมูลที่ท่านสอบถามเรื่องรายละเอียดหรือเอกสารที่ต้องใช้ในการติดต่อธนาคาร ไม่ได้ระบุไว้ในเงื่อนไขของโครงการค่ะ
เนื่องจากมาตรการของผู้ให้บริการแต่ละแห่งมีเงื่อนไขที่แตกต่างกัน แนะนำให้ท่านศึกษารายละเอียดและเงื่อนไขก่อนลงทะเบียน หรือติดต่อ Krungthai Contact Center 02 111 1111 กด 99 หรือ BOT Contact Center 1213 ค่ะ</t>
  </si>
  <si>
    <t>บอทระบุถูกต้องว่าข้อมูลที่ลูกค้าสอบถามไม่ได้ระบุไว้ในเงื่อนไขของโครงการจาก Context ที่ให้มา และคำแนะนำให้ศึกษาเงื่อนไขเพิ่มเติมก็ถูกต้องตาม Context</t>
  </si>
  <si>
    <t>บอทไม่สามารถฟันธงข้อมูลที่ลูกค้าต้องการได้โดยตรง เนื่องจากไม่มีข้อมูลใน Context แต่ได้ให้คำแนะนำที่ถูกต้องและปลอดภัยในการติดต่อหน่วยงานที่เกี่ยวข้อง ซึ่งถือว่ายอมรับได้ตามเกณฑ์ "Safety Over Rejection"</t>
  </si>
  <si>
    <t>บอทระบุได้ถูกต้องว่าข้อมูลที่ลูกค้าต้องการไม่ได้อยู่ใน Context ที่ดึงมา แต่ก็ดึงข้อมูลส่วนที่เกี่ยวข้องกับการแนะนำให้ศึกษาเงื่อนไขเพิ่มเติมมาได้</t>
  </si>
  <si>
    <t>หากมีข้อมูลเพิ่มเติมเกี่ยวกับเอกสารหรือข้อมูลที่ต้องเตรียมในการติดต่อธนาคาร ควรนำมาเพิ่มใน Context เพื่อให้บอทสามารถตอบคำถามได้ตรงประเด็นมากขึ้น</t>
  </si>
  <si>
    <t>TC-046</t>
  </si>
  <si>
    <t>ทดสอบการให้คำแนะนำเรื่องช่วงเวลาที่ควรเริ่มปรึกษา</t>
  </si>
  <si>
    <t>"ค้างชำระมานิดหน่อยเอง ควรรีบไปคุยเลยไหม หรือรอให้เป็นหนี้เสียก่อน"</t>
  </si>
  <si>
    <t>ควรเริ่มทำทันทีเมื่อพบว่าความสามารถในการชำระหนี้เริ่มเปลี่ยนไป หรือได้รับผลกระทบจากรายได้ที่ลดลง (ที่มา: ktb-info-1576-v3p1.txt, บรรทัด 38-38)</t>
  </si>
  <si>
    <t>สวัสดีค่ะ สำหรับกรณีที่คุณสอบถามเข้ามา ข้อมูลในโครงการ “คุณสู้ เราช่วย” ระบุว่ามาตรการแต่ละแห่งมีเงื่อนไขที่แตกต่างกันค่ะ 
หากคุณต้องการทราบรายละเอียดหรือแนวทางปฏิบัติที่ชัดเจนสำหรับกรณีของคุณ ดิฉันแนะนำให้คุณติดต่อสอบถามกับทางสถาบันการเงินเจ้าหนี้โดยตรง หรือติดต่อ Krungthai Contact Center 02 111 1111 กด 99 หรือ BOT Contact Center 1213 เพื่อรับคำแนะนำที่ถูกต้องที่สุดค่ะ</t>
  </si>
  <si>
    <t>บอทตอบถูกต้องตามข้อมูลใน Context ที่ระบุว่ามาตรการแต่ละแห่งมีเงื่อนไขที่แตกต่างกัน และเลือกที่จะไม่ฟันธงแต่แนะนำให้ติดต่อหน่วยงานที่เกี่ยวข้อง ซึ่งถือเป็น Safe Response และไม่หักคะแนนตามเกณฑ์</t>
  </si>
  <si>
    <t>บอทไม่ได้ฟันธงคำตอบโดยตรง แต่เลือกที่จะแนะนำให้ลูกค้าติดต่อหน่วยงานที่เกี่ยวข้องเพื่อรับคำแนะนำที่ถูกต้องที่สุด ซึ่งเป็นแนวทางที่ยอมรับได้เพื่อลดความเสี่ยงจากการให้ข้อมูลผิดพลาด เนื่องจากข้อมูลที่ให้มาไม่เพียงพอต่อการฟันธง</t>
  </si>
  <si>
    <t>Context ที่ดึงมาเกี่ยวข้องกับโครงการ "คุณสู้ เราช่วย" และระบุว่าเงื่อนไขแตกต่างกัน ซึ่งบอทนำมาใช้ในการตอบ แต่ Context ที่ให้มาไม่ได้มีข้อมูลที่สามารถตอบคำถามของลูกค้าได้โดยตรงว่า "ควรรีบไปคุยเลยไหม หรือรอให้เป็นหนี้เสียก่อน"</t>
  </si>
  <si>
    <t>หากมีข้อมูลเพิ่มเติมที่สามารถให้คำแนะนำที่ชัดเจนเกี่ยวกับช่วงเวลาที่เหมาะสมในการติดต่อเจ้าหนี้เมื่อเริ่มมีการค้างชำระ ควรนำมาใช้เพื่อให้คำตอบตรงประเด็นมากขึ้น</t>
  </si>
  <si>
    <t>TC-047</t>
  </si>
  <si>
    <t>ทดสอบการให้ข้อมูลผลกระทบต่อเครดิตบูโรในการปรึกษาเบื้องต้น</t>
  </si>
  <si>
    <t>"ปรับโครงสร้างหนี้ตอนนี้ จะทำให้เสียประวัติในบูโรมากไหม"</t>
  </si>
  <si>
    <t>หากขอปรับโครงสร้างหนี้ก่อนผิดนัดชำระ จะยังไม่ส่งผลต่อเครดิตมากนัก และสามารถคาดหวังการฟื้นเครดิตได้ (ที่มา: ktb-info-1576-v3p1.txt, บรรทัด 39-39)</t>
  </si>
  <si>
    <t xml:space="preserve">สวัสดีค่ะ สำหรับมาตรการในโครงการ “คุณสู้ เราช่วย” หากท่านเข้าร่วมมาตรการที่ 1 “จ่ายตรง คงทรัพย์” หรือมาตรการที่ 3 “จ่าย ตัด ต้น” จะมีการรายงานข้อมูลใน NCB ว่าท่านได้เข้าร่วมมาตรการค่ะ
</t>
  </si>
  <si>
    <t>ข้อมูลถูกต้อง 100% ตาม Context ที่ระบุว่ามาตรการที่ 1 และ 3 จะถูกรายงานข้อมูลใน NCB ว่าเข้าร่วมมาตรการ</t>
  </si>
  <si>
    <t>บอทตอบตรงประเด็นโดยระบุว่าการเข้าร่วมมาตรการจะถูกรายงานใน NCB ซึ่งเกี่ยวข้องกับคำถามเรื่องประวัติในบูโร แม้จะไม่ได้ฟันธงว่า "เสียประวัติมากไหม" แต่เป็นการกางเงื่อนไขที่ถูกต้องให้ลูกค้าพิจารณาเอง ซึ่งยอมรับได้ตามหลัก Safety Over Rejection</t>
  </si>
  <si>
    <t>Context ที่ดึงมาเกี่ยวข้องโดยตรงกับคำถามและข้อมูลที่บอทตอบ</t>
  </si>
  <si>
    <t>คำตอบสามารถให้ข้อมูลเพิ่มเติมเกี่ยวกับผลกระทบของการถูกรายงานใน NCB ได้ หากมีข้อมูลใน Context ที่สนับสนุน เช่น การรายงานนี้ไม่ได้หมายถึงประวัติเสียเสมอไปหากปฏิบัติตามเงื่อนไข</t>
  </si>
  <si>
    <t>TC-048</t>
  </si>
  <si>
    <t>ทดสอบรูปแบบการยื่นคำร้องขอปรึกษาที่เป็นทางการ</t>
  </si>
  <si>
    <t>"การเจรจาปากเปล่ากับแบงก์ถือว่าใช้ได้เลยไหม หรือต้องทำเป็นหนังสือ"</t>
  </si>
  <si>
    <t>ควรทำหนังสือขอปรับโครงสร้างหนี้ส่งไปยังธนาคาร เพื่อให้พิจารณาตามทางเลือกหรือข้อเสนอที่เหมาะสม (ที่มา: ktb-info-v3p0.txt, บรรทัด 52-52)</t>
  </si>
  <si>
    <t>ขออภัยค่ะ ข้อมูลที่ท่านสอบถามเกี่ยวกับผลทางกฎหมายของการเจรจาปากเปล่ากับธนาคาร ไม่ได้ถูกระบุไว้ในรายละเอียดของโครงการค่ะ
หากท่านมีข้อสงสัยเพิ่มเติม สามารถติดต่อสอบถามได้ที่ Krungthai Contact Center 02 111 1111 กด 99 หรือ BOT Contact Center 1213 ค่ะ</t>
  </si>
  <si>
    <t>บอทตอบถูกต้องว่าข้อมูลที่ลูกค้าสอบถามไม่ได้ระบุไว้ในรายละเอียดของโครงการ ซึ่งสอดคล้องกับ Context ที่ให้มา</t>
  </si>
  <si>
    <t>บอทตอบตรงประเด็นว่าข้อมูลไม่พบในเอกสาร และแนะนำช่องทางการติดต่อเพิ่มเติม ซึ่งเป็นการตอบที่ปลอดภัยและเหมาะสมเมื่อไม่มีข้อมูลที่ชัดเจนใน Context</t>
  </si>
  <si>
    <t>บอทประเมินได้ถูกต้องว่า Context ที่ให้มาไม่มีข้อมูลที่ตอบคำถามของลูกค้าโดยตรง</t>
  </si>
  <si>
    <t>TC-049</t>
  </si>
  <si>
    <t>ทดสอบหลักการเปรียบเทียบข้อเสนอในกลุ่ม Consultation</t>
  </si>
  <si>
    <t>"มีธนาคารเสนอช่วยหลายที่ จะรู้ได้ยังไงว่าที่ไหนดีที่สุด"</t>
  </si>
  <si>
    <t>ให้ศึกษาและเปรียบเทียบอัตราดอกเบี้ย ระยะเวลาผ่อน เงื่อนไข และค่าธรรมเนียม เพื่อเลือกข้อเสนอที่คุ้มค่าที่สุด (ที่มา: ktb-info-1574-v3p1.txt, บรรทัด 23-23)</t>
  </si>
  <si>
    <t xml:space="preserve">สวัสดีค่ะ สำหรับมาตรการของผู้ให้บริการแต่ละแห่งจะมีเงื่อนไขที่แตกต่างกันค่ะ ดังนั้น เพื่อให้ได้ข้อมูลที่เหมาะสมที่สุด ดิฉันแนะนำให้คุณลูกค้าโปรดศึกษารายละเอียด คุณสมบัติ และเงื่อนไขของผู้ให้บริการแต่ละแห่งก่อนตัดสินใจลงทะเบียนเข้าร่วมโครงการนะคะ </t>
  </si>
  <si>
    <t>บอทตอบถูกต้องตามข้อมูลอ้างอิงที่ระบุว่ามาตรการของผู้ให้บริการแต่ละแห่งมีเงื่อนไขที่แตกต่างกัน และแนะนำให้ลูกค้าศึกษาคุณสมบัติและเงื่อนไขก่อนตัดสินใจ ซึ่งเป็นไปตามหลักการ Safe Response</t>
  </si>
  <si>
    <t>บอทไม่ได้ฟันธงหรือเปรียบเทียบข้อเสนอให้ลูกค้าโดยตรง แต่เลือกที่จะกางเงื่อนไขสำคัญและแนะนำให้ลูกค้าพิจารณาตนเอง ซึ่งถือว่ายอมรับได้ตามเกณฑ์การประเมินเพื่อลดความเสี่ยงจากการให้ข้อมูลผิดพลาด</t>
  </si>
  <si>
    <t>Context ที่ดึงมาเกี่ยวข้องโดยตรงกับคำถามและคำตอบของบอท</t>
  </si>
  <si>
    <t>บอทควรแนะนำลูกค้าเพิ่มเติมว่าควรเปรียบเทียบอะไรบ้าง เช่น อัตราดอกเบี้ย ระยะเวลาผ่อน เงื่อนไข และค่าธรรมเนียม เพื่อให้ลูกค้าสามารถเลือกข้อเสนอที่คุ้มค่าที่สุดได้</t>
  </si>
  <si>
    <t>TC-050</t>
  </si>
  <si>
    <t>ทดสอบการอธิบายความหมายและเป้าหมายการเจรจา</t>
  </si>
  <si>
    <t>"การปรับโครงสร้างหนี้คืออะไรกันแน่ มันจะช่วยให้หนี้หมดได้จริงไหม"</t>
  </si>
  <si>
    <t>คือการปรับเปลี่ยนเงื่อนไขชำระหนี้ใหม่ให้เหมาะกับความสามารถ ช่วยให้จ่ายไหวตามกำลังและป้องกันการถูกฟ้องร้องยึดทรัพย์ (ที่มา: ktb-info-1576-v3p1.txt, บรรทัด 32-32)</t>
  </si>
  <si>
    <t xml:space="preserve">สวัสดีค่ะ การปรับโครงสร้างหนี้ภายใต้โครงการ “คุณสู้ เราช่วย” คือมาตรการช่วยเหลือลูกหนี้โดยการปรับเงื่อนไขการผ่อนชำระให้ผ่อนปรนขึ้น เช่น การลดค่างวด การพักดอกเบี้ยไว้ 3 ปี หรือการนำค่างวดไปตัดเงินต้นทั้งหมด เพื่อช่วยให้ลูกหนี้สามารถปิดจบหนี้ได้เร็วขึ้นค่ะ
</t>
  </si>
  <si>
    <t>บอทอธิบายการปรับโครงสร้างหนี้โดยอ้างอิงจากมาตรการต่างๆ ในโครงการ "คุณสู้ เราช่วย" ได้ถูกต้องตามเอกสาร เช่น การลดค่างวด การพักดอกเบี้ย และการนำค่างวดไปตัดเงินต้น ซึ่งสอดคล้องกับรายละเอียดของมาตรการที่ 1 และ 3 และวัตถุประสงค์ในการช่วยให้ลูกหนี้ปิดจบหนี้ได้เร็วขึ้น</t>
  </si>
  <si>
    <t>บอทตอบคำถามตรงประเด็นทั้งสองส่วน คือ "การปรับโครงสร้างหนี้คืออะไร" และ "มันจะช่วยให้หนี้หมดได้จริงไหม" โดยอธิบายกลไกการช่วยเหลือที่นำไปสู่การปิดจบหนี้ได้เร็วขึ้น ซึ่งเป็นการตอบที่เหมาะสมและปลอดภัย</t>
  </si>
  <si>
    <t>ภาษาที่ใช้เป็นธรรมชาติ สั้นกระชับ และเข้าใจง่าย จัดรูปแบบดี</t>
  </si>
  <si>
    <t>Context ที่ดึงมาเกี่ยวข้องโดยตรงกับคำถามและโครงการ "คุณสู้ เราช่วย" ซึ่งเป็นข้อมูลที่บอทใช้ในการตอบ</t>
  </si>
  <si>
    <t>TC-051</t>
  </si>
  <si>
    <t>Consolidation &amp; Optimization</t>
  </si>
  <si>
    <t>ทดสอบการอธิบายความหมายและข้อดีของการรวมหนี้เป็นก้อนเดียว</t>
  </si>
  <si>
    <t>"มีหนี้บัตรเครดิตหลายใบ วุ่นวายมาก อยากรวมเป็นที่เดียวให้จบๆ ทำได้ไหม"</t>
  </si>
  <si>
    <t>ทำได้ เรียกว่า "สินเชื่อรวมหนี้" คือการนำเงินกู้ก้อนใหม่ไปปิดหนี้เดิมทั้งหมด เพื่อให้เหลือยอดผ่อนที่เดียว ช่วยให้บริหารจัดการเงินง่ายขึ้นและดอกเบี้ยถูกลง (ที่มา: ktb-info-1574-v3p1.txt, บรรทัด 15-15)</t>
  </si>
  <si>
    <t xml:space="preserve">สวัสดีค่ะ สำหรับการรวมหนี้บัตรเครดิต โครงการ “คุณสู้ เราช่วย” มีมาตรการที่เกี่ยวข้องดังนี้ค่ะ
1. หากท่านมีหนี้บ้านหรือหนี้รถที่เข้าเงื่อนไข สามารถพิจารณาเข้าร่วมมาตรการรวมหนี้ได้ภายใต้ระดับความเสี่ยงที่สถาบันการเงินรับได้ค่ะ 
2. หากเป็นหนี้เสีย (NPL) ของบัตรเครดิต ยอดหนี้ไม่เกิน 50,000 บาทต่อบัญชี สามารถเข้าร่วมมาตรการ “จ่าย ตัด ต้น” เพื่อปรับโครงสร้างหนี้ได้ค่ะ 
ทั้งนี้ มาตรการของผู้ให้บริการแต่ละแห่งมีเงื่อนไขแตกต่างกัน โปรดศึกษารายละเอียดและคุณสมบัติก่อนลงทะเบียนนะคะ </t>
  </si>
  <si>
    <t>บอทให้ข้อมูลมาตรการที่เกี่ยวข้องกับการรวมหนี้บัตรเครดิตได้อย่างถูกต้องตามเอกสารอ้างอิง โดยเฉพาะมาตรการที่ 1 ที่ระบุถึงการรวมหนี้บัตรเครดิตกับหนี้บ้าน/รถ และมาตรการที่ 3 สำหรับหนี้เสียบัตรเครดิต เงื่อนไขที่บอทระบุถูกต้องทั้งหมด</t>
  </si>
  <si>
    <t>บอทตอบตรงประเด็นคำถามของลูกค้าที่ต้องการรวมหนี้บัตรเครดิต โดยนำเสนอมาตรการที่เกี่ยวข้องจากโครงการ "คุณสู้ เราช่วย" ซึ่งเป็นการตอบแบบกางเงื่อนไขที่ถูกต้องเพื่อให้ลูกค้าพิจารณาตนเอง ถือว่ายอมรับได้และช่วยลดความเสี่ยงจากการให้ข้อมูลผิดพลาด</t>
  </si>
  <si>
    <t>บอทใช้ภาษาที่เข้าใจง่าย สั้นกระชับ และจัดรูปแบบการนำเสนอเป็นข้อๆ ทำให้ผู้อ่านเข้าใจได้ทันที</t>
  </si>
  <si>
    <t>Context ที่ดึงมาเกี่ยวข้องโดยตรงกับคำถามของลูกค้าเกี่ยวกับมาตรการรวมหนี้บัตรเครดิตในโครงการ "คุณสู้ เราช่วย" และครอบคลุมข้อมูลที่บอทใช้ตอบทั้งหมด</t>
  </si>
  <si>
    <t>ไม่มีคำแนะนำเพิ่มเติม เนื่องจากคำตอบมีความถูกต้อง ตรงประเด็น และเข้าใจง่าย</t>
  </si>
  <si>
    <t>TC-052</t>
  </si>
  <si>
    <t>ทดสอบความเข้าใจเรื่องการเปลี่ยนประเภทหนี้ (Debt Conversion)</t>
  </si>
  <si>
    <t>"จ่ายขั้นต่ำบัตรเครดิต 16% ไม่จบสักที เปลี่ยนเป็นเงินกู้ผ่อนรายเดือนได้ไหม"</t>
  </si>
  <si>
    <t>ทำได้ โดยเปลี่ยนเป็นสินเชื่อแบบมีกำหนดระยะเวลา (Term Loan) ที่มีดอกเบี้ยต่ำลงและกำหนดเวลาปิดจบที่ชัดเจน แต่ต้องมั่นใจว่าผ่อนค่างวดใหม่ไหว (ที่มา: ktb-info-v3p0.txt, บรรทัด 43-43)</t>
  </si>
  <si>
    <t>สวัสดีค่ะ สำหรับการเปลี่ยนหนี้บัตรเครดิตเป็นเงินกู้ผ่อนรายเดือน หากท่านมีสถานะเป็นหนี้เสีย (NPL) ณ วันที่ 31 ตุลาคม 2567 และมียอดหนี้ไม่เกิน 50,000 บาทต่อบัญชี ท่านสามารถเข้าร่วมมาตรการที่ 3 “จ่าย ตัด ต้น” เพื่อปรับโครงสร้างหนี้เป็นแบบผ่อนชำระรายงวดได้ค่ะ 
ทั้งนี้ มาตรการของผู้ให้บริการแต่ละแห่งมีเงื่อนไขแตกต่างกัน โปรดศึกษารายละเอียดและเงื่อนไขก่อนลงทะเบียนนะคะ หากมีข้อสงสัยเพิ่มเติม สามารถติดต่อ Krungthai Contact Center 02 111 1111 กด 99 หรือ BOT Contact Center 1213 ค่ะ</t>
  </si>
  <si>
    <t>บอทระบุมาตรการที่ 3 “จ่าย ตัด ต้น” และเงื่อนไขคุณสมบัติของลูกหนี้ (สถานะหนี้เสีย NPL ณ วันที่ 31 ต.ค. 67 และยอดหนี้ไม่เกิน 50,000 บาทต่อบัญชี) ได้ถูกต้องตามเอกสารอ้างอิง 100% รวมถึงการแจ้งให้ศึกษาเงื่อนไขเพิ่มเติมก็ถูกต้องตามเอกสาร</t>
  </si>
  <si>
    <t>บอทตอบตรงประเด็นโดยแนะนำมาตรการที่เกี่ยวข้องกับการเปลี่ยนหนี้บัตรเครดิตเป็นเงินกู้ผ่อนรายเดือน และเลือกที่จะไม่ฟันธงปฏิเสธลูกค้าโดยตรง แต่ใช้วิธีทวนเงื่อนไขสำคัญที่ถูกต้องเพื่อให้ลูกค้าพิจารณาตนเอง ซึ่งถือว่ายอมรับได้และช่วยลดความเสี่ยงจากการให้ข้อมูลผิดพลาด</t>
  </si>
  <si>
    <t>Context ที่ดึงมาเกี่ยวข้องโดยตรงกับคำถามของลูกค้าเกี่ยวกับมาตรการปรับโครงสร้างหนี้บัตรเครดิต</t>
  </si>
  <si>
    <t>คำตอบของบอทมีความถูกต้องและปลอดภัยดีแล้ว ไม่จำเป็นต้องปรับปรุงเพิ่มเติมในกรณีนี้ เนื่องจากเป็นการตอบแบบกางเงื่อนไขที่ถูกต้องเพื่อความปลอดภัย</t>
  </si>
  <si>
    <t>TC-053</t>
  </si>
  <si>
    <t>ทดสอบมาตรการสนับสนุนการรวมหนี้ของ ธปท.</t>
  </si>
  <si>
    <t>"ได้ยินว่าเอาหนี้บัตรเครดิตมารวมกับหนี้บ้านได้ จริงไหมคะ"</t>
  </si>
  <si>
    <t>จริง ธปท. มีมาตรการให้รวมหนี้รายย่อย เช่น บัตรเครดิต บัตรกดเงินสด เข้ากับสินเชื่อบ้านเพื่อลดภาระดอกเบี้ยและการผ่อนค่างวดระยะยาว (ที่มา: ktb-info-1574-v3p1.txt, บรรทัด 16-16)</t>
  </si>
  <si>
    <t xml:space="preserve">สำหรับกรณีการรวมหนี้บัตรเครดิตกับหนี้บ้านนั้น ในมาตรการที่ 1 “จ่ายตรง คงทรัพย์” ระบุว่า หากท่านมีหนี้บ้านหรือหนี้รถที่เข้าเงื่อนไข สามารถพิจารณาเข้ามาตรการรวมหนี้ได้ โดยขึ้นอยู่กับระดับความเสี่ยงที่สถาบันการเงินรับได้ค่ะ
ทั้งนี้ มาตรการของผู้ให้บริการแต่ละแห่งมีเงื่อนไขที่แตกต่างกัน แนะนำให้ท่านศึกษารายละเอียดและเงื่อนไขก่อนลงทะเบียนเข้าร่วมโครงการนะคะ
</t>
  </si>
  <si>
    <t>บอทตอบถูกต้องตามเอกสาร โดยระบุว่าสามารถรวมหนี้บัตรเครดิตกับหนี้บ้านได้ภายใต้มาตรการที่ 1 และเงื่อนไขที่สถาบันการเงินพิจารณาความเสี่ยง ซึ่งตรงกับข้อมูลใน Context ทุกประการ</t>
  </si>
  <si>
    <t>บอทตอบตรงคำถามของลูกค้าและให้ข้อมูลที่ถูกต้องครบถ้วนตามเงื่อนไขที่ระบุในเอกสาร โดยไม่ฟันธงแต่ให้ข้อมูลที่ลูกค้าสามารถนำไปพิจารณาต่อได้ ซึ่งเป็นแนวทางที่ปลอดภัยและยอมรับได้</t>
  </si>
  <si>
    <t>บอทใช้ภาษาที่เข้าใจง่าย กระชับ และจัดรูปแบบการตอบได้ดี ทำให้ลูกค้าเข้าใจข้อมูลได้ง่าย</t>
  </si>
  <si>
    <t>Context ที่ดึงมาเกี่ยวข้องโดยตรงกับคำถามของลูกค้าเกี่ยวกับมาตรการรวมหนี้บัตรเครดิตกับหนี้บ้านในโครงการ "คุณสู้ เราช่วย" มาตรการที่ 1</t>
  </si>
  <si>
    <t>ไม่มีคำแนะนำเพิ่มเติม เนื่องจากคำตอบถูกต้องและครบถ้วนตามหลักเกณฑ์</t>
  </si>
  <si>
    <t>TC-054</t>
  </si>
  <si>
    <t>ทดสอบการเตือนเรื่องค่าธรรมเนียมหรือค่าใช้จ่ายแฝงในการรีไฟแนนซ์</t>
  </si>
  <si>
    <t>"สนใจรีไฟแนนซ์ไปแบงก์อื่น ต้องเสียค่าอะไรเพิ่มบ้าง"</t>
  </si>
  <si>
    <t>ต้องระวังค่าใช้จ่ายแฝง เช่น ค่าจดจำนอง ค่าประเมินหลักประกัน ค่าเบี้ยประกันใหม่ และค่าปรับกรณีไถ่ถอนก่อนกำหนดจากเจ้าหนี้เดิม (ที่มา: ktb-info-v3p0.txt, บรรทัด 44-44)</t>
  </si>
  <si>
    <t>ขออภัยค่ะ ข้อมูลเรื่องค่าใช้จ่ายในการรีไฟแนนซ์ไปธนาคารอื่น ไม่ได้ระบุไว้ในรายละเอียดโครงการที่คุณสอบถามมาค่ะ
หากคุณต้องการสอบถามข้อมูลเพิ่มเติม สามารถติดต่อได้ที่ Krungthai Contact Center 02 111 1111 กด 99 หรือ BOT Contact Center 1213 นะคะ</t>
  </si>
  <si>
    <t>บอทตอบถูกต้องว่าข้อมูลที่ลูกค้าสอบถามไม่ได้อยู่ในเอกสารอ้างอิงที่ให้มา</t>
  </si>
  <si>
    <t>บอทตอบตรงประเด็นว่าไม่พบข้อมูลที่เกี่ยวข้องและแนะนำช่องทางการติดต่อเพิ่มเติม ซึ่งเหมาะสมกับสถานการณ์ที่ข้อมูลไม่อยู่ใน Context</t>
  </si>
  <si>
    <t>บอทประเมินได้ถูกต้องว่าข้อมูลที่ลูกค้าต้องการไม่อยู่ใน Context ที่ให้มา</t>
  </si>
  <si>
    <t>ไม่มีคำแนะนำเพิ่มเติม เนื่องจากบอทตอบได้ดีที่สุดแล้วในสถานการณ์ที่ข้อมูลไม่อยู่ใน Context</t>
  </si>
  <si>
    <t>TC-055</t>
  </si>
  <si>
    <t>ทดสอบข้อควรระวังเรื่องระยะเวลาผ่อนที่นานขึ้น</t>
  </si>
  <si>
    <t>"รวมหนี้แล้วผ่อนน้อยลงมากเลย แบบนี้ดอกเบี้ยรวมจะถูกลงด้วยใช่ไหม"</t>
  </si>
  <si>
    <t>ไม่เสมอไป แม้ค่างวดต่อเดือนลดลง แต่ถ้าระยะเวลาผ่อนนานขึ้น อาจทำให้ยอดรวมดอกเบี้ยทั้งสัญญาแพงกว่าการผ่อนแบบเดิม (ที่มา: ktb-info-1574-v3p1.txt, บรรทัด 20-20)</t>
  </si>
  <si>
    <t xml:space="preserve">สวัสดีค่ะ สำหรับมาตรการในโครงการ “คุณสู้ เราช่วย” ในมาตรการที่ 1 และมาตรการที่ 3 มีเงื่อนไขการพักดอกเบี้ยไว้เป็นเวลา 3 ปี ซึ่งหากท่านสามารถปฏิบัติได้ตามเงื่อนไขที่กำหนดตลอดระยะเวลาดังกล่าว ดอกเบี้ยที่พักไว้จะได้รับการยกเว้นทั้งหมดค่ะ
 </t>
  </si>
  <si>
    <t>ข้อมูลที่บอทให้เกี่ยวกับมาตรการที่ 1 และ 3 ในโครงการ “คุณสู้ เราช่วย” เรื่องการพักดอกเบี้ย 3 ปี และการยกเว้นดอกเบี้ยหากปฏิบัติตามเงื่อนไขนั้นถูกต้อง 100% ตามเอกสารอ้างอิง</t>
  </si>
  <si>
    <t>บอทไม่ได้ตอบคำถามเชิงหลักการทั่วไปที่ว่า "รวมหนี้แล้วผ่อนน้อยลง ดอกเบี้ยรวมจะถูกลงด้วยไหม" โดยตรง แต่เลือกที่จะให้ข้อมูลเกี่ยวกับเงื่อนไขการพักดอกเบี้ยและการยกเว้นดอกเบี้ยของมาตรการที่ 1 และ 3 ในโครงการ "คุณสู้ เราช่วย" ซึ่งเป็นมาตรการปรับโครงสร้างหนี้ที่เกี่ยวข้องกับการจัดการหนี้และดอกเบี้ย ถือเป็นการตอบแบบกางเงื่อนไขที่ถูกต้องตามเอกสาร ซึ่งยอมรับได้ตามหลัก "Safety Over Rejection" แม้จะไม่ฟันธงตามคำถามเชิงหลักการ</t>
  </si>
  <si>
    <t>Context ที่ดึงมาเกี่ยวข้องโดยตรงกับมาตรการที่ 1 และ 3 ของโครงการ “คุณสู้ เราช่วย” ซึ่งเป็นข้อมูลที่บอทนำมาใช้ตอบ</t>
  </si>
  <si>
    <t>ควรตอบคำถามเชิงหลักการทั่วไปก่อนว่า "ไม่เสมอไป" และอธิบายเหตุผลว่าการผ่อนนานขึ้นอาจทำให้ดอกเบี้ยรวมสูงขึ้นได้ จากนั้นจึงค่อยให้ข้อมูลเกี่ยวกับมาตรการเฉพาะของโครงการ “คุณสู้ เราช่วย” เพื่อให้คำตอบครอบคลุมและตรงประเด็นกับคำถามของลูกค้ามากขึ้น</t>
  </si>
  <si>
    <t>TC-056</t>
  </si>
  <si>
    <t>ทดสอบขอบเขตการรีไฟแนนซ์สินเชื่อรายย่อย</t>
  </si>
  <si>
    <t>"รีไฟแนนซ์หนี้บัตรเครดิตได้ไหม หรือทำได้แค่หนี้บ้าน"</t>
  </si>
  <si>
    <t>ทำได้ การรีไฟแนนซ์ไม่ได้จำกัดแค่หนี้บ้าน แต่รวมถึงหนี้บัตรเครดิตและบัตรกดเงินสดด้วย เพื่อย้ายไปเจ้าหนี้ใหม่ที่ดอกเบี้ยถูกกว่า (ที่มา: ktb-info-v3p0.txt, บรรทัด 43-43)</t>
  </si>
  <si>
    <t xml:space="preserve">สวัสดีค่ะ สำหรับหนี้บัตรเครดิตสามารถเข้าร่วมมาตรการปรับโครงสร้างหนี้ได้ค่ะ โดยมีรายละเอียดดังนี้ค่ะ
1. **มาตรการที่ 3 “จ่าย ตัด ต้น”**: สำหรับหนี้เสีย (NPL) ของสินเชื่อไม่มีหลักประกัน เช่น บัตรเครดิต โดยมียอดหนี้ไม่เกิน 50,000 บาทต่อบัญชี 
2. **มาตรการที่ 1 “จ่ายตรง คงทรัพย์”**: หากท่านมีหนี้บ้านหรือหนี้รถที่เข้าเงื่อนไข สามารถพิจารณารวมหนี้บัตรเครดิตเข้ามาตรการนี้ได้ค่ะ 
ทั้งนี้ เงื่อนไขขึ้นอยู่กับผู้ให้บริการแต่ละแห่ง โปรดศึกษารายละเอียดก่อนลงทะเบียนนะคะ </t>
  </si>
  <si>
    <t>ข้อมูลที่บอทให้เกี่ยวกับมาตรการที่ 1 และ 3 รวมถึงเงื่อนไขต่างๆ ถูกต้องตามเอกสารอ้างอิงทุกประการ และมีการระบุข้อควรระวังเรื่องเงื่อนไขที่แตกต่างกันของผู้ให้บริการ ซึ่งสอดคล้องกับเอกสาร</t>
  </si>
  <si>
    <t>ลูกค้าถามถึงการรีไฟแนนซ์หนี้บัตรเครดิต ซึ่งบอทตอบโดยการนำเสนอมาตรการปรับโครงสร้างหนี้ภายใต้โครงการ "คุณสู้ เราช่วย" ซึ่งเป็นแนวทางที่เกี่ยวข้องกับการจัดการหนี้ แม้จะไม่ใช่การ "รีไฟแนนซ์" ในความหมายทั่วไปของการย้ายหนี้ไปเจ้าหนี้ใหม่ แต่เป็นการนำเสนอทางเลือกที่ถูกต้องตามเอกสารที่ให้มา และเป็นไปตามหลักการ "Safety Over Rejection" ที่ให้กางเงื่อนไขที่ถูกต้อง</t>
  </si>
  <si>
    <t>คำตอบกระชับ เข้าใจง่าย มีการจัดรูปแบบเป็นข้อๆ ทำให้ดูเป็นระเบียบและอ่านง่าย</t>
  </si>
  <si>
    <t>บอทดึงข้อมูลจากไฟล์ khunsoo-v3p0.txt ซึ่งเป็นข้อมูลที่เกี่ยวข้องโดยตรงกับโครงการ "คุณสู้ เราช่วย" และมาตรการต่างๆ ที่สามารถใช้กับหนี้บัตรเครดิตได้</t>
  </si>
  <si>
    <t>บอทสามารถเพิ่มความชัดเจนในการอธิบายความแตกต่างระหว่าง "การรีไฟแนนซ์" ในความหมายทั่วไป กับ "มาตรการปรับโครงสร้างหนี้" ที่นำเสนอ เพื่อให้ลูกค้าเข้าใจบริบทของคำตอบได้ดียิ่งขึ้น หรือระบุว่ามาตรการเหล่านี้เป็นทางเลือกในการจัดการหนี้บัตรเครดิตที่ใกล้เคียงกับการรีไฟแนนซ์ภายใต้โครงการนี้</t>
  </si>
  <si>
    <t>TC-057</t>
  </si>
  <si>
    <t>ทดสอบข้อควรระวังเรื่องหลักประกัน (Collateral Risk)</t>
  </si>
  <si>
    <t>"ถ้าเอาบ้านไปค้ำเพื่อรวมหนี้ จะมีความเสี่ยงอะไรไหม"</t>
  </si>
  <si>
    <t>มีความเสี่ยง เพราะบ้านจะกลายเป็นหลักประกัน หากในอนาคตผ่อนชำระต่อไม่ไหว อาจเสี่ยงต่อการถูกยึดทรัพย์หรือสูญเสียบ้านได้ (ที่มา: ktb-info-1574-v3p1.txt, บรรทัด 21-21)</t>
  </si>
  <si>
    <t>ขออภัยค่ะ ข้อมูลที่ท่านสอบถามเกี่ยวกับความเสี่ยงของการนำบ้านไปค้ำประกันเพื่อรวมหนี้ ไม่ได้ระบุรายละเอียดไว้ในเงื่อนไขของโครงการค่ะ
หากท่านต้องการทราบข้อมูลเพิ่มเติมหรือรายละเอียดเกี่ยวกับมาตรการต่างๆ สามารถติดต่อสอบถามได้ที่ Krungthai Contact Center 02 111 1111 กด 99 หรือ BOT Contact Center 1213 ค่ะ</t>
  </si>
  <si>
    <t>บอทระบุถูกต้องว่าข้อมูลความเสี่ยงของการนำบ้านไปค้ำประกันเพื่อรวมหนี้ไม่ได้ระบุรายละเอียดไว้ในเงื่อนไขของโครงการตาม Context ที่ให้มา</t>
  </si>
  <si>
    <t>บอทตอบตรงประเด็นโดยแจ้งว่าข้อมูลที่ถามไม่อยู่ใน Context และแนะนำช่องทางการติดต่อเพิ่มเติม ซึ่งถือเป็น Safe Response ที่ยอมรับได้</t>
  </si>
  <si>
    <t>บอทสามารถระบุได้ว่าข้อมูลที่ลูกค้าสอบถาม (ความเสี่ยง) ไม่มีอยู่ใน Context ที่ดึงมา</t>
  </si>
  <si>
    <t>บอทสามารถเพิ่มประโยคที่ยอมรับว่าโครงการมีการรวมหนี้โดยใช้บ้านค้ำประกันได้ แต่ข้อมูลความเสี่ยงเฉพาะเจาะจงไม่ได้ระบุไว้ในเอกสาร เพื่อให้คำตอบสมบูรณ์ยิ่งขึ้นก่อนแนะนำช่องทางติดต่อ</t>
  </si>
  <si>
    <t>TC-058</t>
  </si>
  <si>
    <t>ทดสอบแนวทางรักษาวินัยการเงินหลังรวมหนี้</t>
  </si>
  <si>
    <t>"กลัวรวมหนี้เสร็จแล้วจะกลับไปเป็นหนี้อีก มีวิธีป้องกันยังไง"</t>
  </si>
  <si>
    <t>ควรปิดหรือลดวงเงินบัตรที่ไม่จำเป็น ทำบัญชีรายรับ-รายจ่าย และตั้งงบประมาณการใช้จ่ายเพื่อป้องกันการเผลอกลับไปสร้างหนี้ใหม่ (ที่มา: ktb-info-1574-v3p1.txt, บรรทัด 27-27)</t>
  </si>
  <si>
    <t xml:space="preserve">สำหรับการป้องกันการก่อหนี้ใหม่หลังจากเข้าร่วมมาตรการภายใต้โครงการ “คุณสู้ เราช่วย” ทางโครงการมีเงื่อนไขกำหนดไว้ว่า ลูกหนี้จะไม่สามารถทำสัญญาสินเชื่ออุปโภคบริโภคใหม่ได้เป็นระยะเวลา 12 เดือนแรกหลังจากเข้าร่วมมาตรการค่ะ
</t>
  </si>
  <si>
    <t>บอทตอบเงื่อนไขที่ถูกต้องตามเอกสารว่าลูกหนี้จะไม่สามารถทำสัญญาสินเชื่ออุปโภคบริโภคใหม่ได้เป็นระยะเวลา 12 เดือนแรกหลังจากเข้าร่วมมาตรการ ซึ่งเป็นเงื่อนไขที่มีอยู่ในมาตรการที่ 1 และ 3 ของโครงการฯ</t>
  </si>
  <si>
    <t>บอทตอบตรงประเด็นในแง่ของการให้ข้อมูลเงื่อนไขของโครงการที่ช่วยป้องกันการก่อหนี้ใหม่ได้ แต่ไม่ได้ให้คำแนะนำด้านการเงินทั่วไปตามที่ผู้ใช้อาจคาดหวัง อย่างไรก็ตาม การให้เงื่อนไขที่ถูกต้องถือว่ายอมรับได้ตามหลัก Safety Over Rejection</t>
  </si>
  <si>
    <t>Context ที่ดึงมาเกี่ยวข้องโดยตรงกับเงื่อนไขของโครงการ "คุณสู้ เราช่วย" ที่บอทนำมาตอบ</t>
  </si>
  <si>
    <t>ควรเพิ่มคำแนะนำด้านการเงินทั่วไป เช่น การทำบัญชีรายรับ-รายจ่าย หรือการลดวงเงินบัตรที่ไม่จำเป็น เพื่อให้คำตอบครอบคลุมและเป็นประโยชน์ต่อผู้ใช้มากยิ่งขึ้น</t>
  </si>
  <si>
    <t>TC-059</t>
  </si>
  <si>
    <t>ทดสอบการแนะนำผลิตภัณฑ์สินเชื่อไม่มีหลักประกัน (Unsecured)</t>
  </si>
  <si>
    <t>"อยากรวมหนี้แบบไม่ต้องใช้คนค้ำหรือหลักทรัพย์ แบงก์มีตัวช่วยไหม"</t>
  </si>
  <si>
    <t>มี เช่น สินเชื่อ Smart Money สำหรับผู้มีรายได้ประจำ ที่ต้องการรวมหนี้แบบไม่ต้องใช้หลักทรัพย์หรือบุคคลค้ำประกัน วงเงินสูงสุด 5 เท่าของรายได้ (ที่มา: ktb-info-1574-v3p1.txt, บรรทัด 24-24)</t>
  </si>
  <si>
    <t xml:space="preserve">สวัสดีค่ะ สำหรับการรวมหนี้โดยไม่ต้องใช้หลักทรัพย์หรือคนค้ำประกัน ภายใต้โครงการ “คุณสู้ เราช่วย” มีมาตรการที่ 3 “จ่าย ตัด ต้น” สำหรับสินเชื่อไม่มีหลักประกัน (เช่น บัตรเครดิต สินเชื่อส่วนบุคคล) ที่มียอดหนี้ไม่เกิน 50,000 บาทต่อบัญชี และเป็นหนี้เสีย (NPL) ณ วันที่ 31 ตุลาคม 2567 ค่ะ 
ทั้งนี้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 </t>
  </si>
  <si>
    <t>บอทให้ข้อมูลเงื่อนไขของมาตรการที่ 3 “จ่าย ตัด ต้น” ได้ถูกต้อง 100% ตามเอกสารอ้างอิง รวมถึงการระบุว่ามาตรการของผู้ให้บริการแต่ละแห่งมีเงื่อนไขที่แตกต่างกัน ซึ่งเป็นข้อความที่อยู่ใน Context ด้วย</t>
  </si>
  <si>
    <t>บอทตอบตรงประเด็นที่ลูกค้าต้องการรวมหนี้แบบไม่ต้องใช้หลักทรัพย์หรือคนค้ำประกัน โดยเสนอมาตรการที่ 3 “จ่าย ตัด ต้น” ซึ่งเป็นมาตรการสำหรับสินเชื่อไม่มีหลักประกัน และกางเงื่อนไขที่ถูกต้องให้ลูกค้าพิจารณาเอง ถือว่ายอมรับได้ตามหลัก Safety Over Rejection</t>
  </si>
  <si>
    <t>บอทดึงข้อมูลจาก Context ที่เกี่ยวข้องโดยตรงกับโครงการ “คุณสู้ เราช่วย” และมาตรการที่ 3 “จ่าย ตัด ต้น” มาใช้ได้อย่างถูกต้อง</t>
  </si>
  <si>
    <t>คำตอบของบอทถูกต้องตาม Context ที่ให้มาแล้ว ไม่จำเป็นต้องปรับปรุงเพิ่มเติมในกรณีนี้ เนื่องจาก Expected Output อ้างอิงถึงข้อมูลที่ไม่ได้อยู่ใน Context ที่ให้มา</t>
  </si>
  <si>
    <t>TC-060</t>
  </si>
  <si>
    <t>ทดสอบผลกระทบต่อคะแนนเครดิตหลังรวมหนี้</t>
  </si>
  <si>
    <t>"ถ้ารวมหนี้ปิดบัตรหลายใบพร้อมกัน บูโรจะพังไหม"</t>
  </si>
  <si>
    <t>อาจกระทบคะแนนเครดิตในระยะสั้นจากการปิดบัญชีหลายใบ แต่หากผ่อนหนี้ก้อนใหม่ตรงเวลา จะส่งผลดีต่อประวัติเครดิตในระยะยาว (ที่มา: ktb-info-1574-v3p1.txt, บรรทัด 21-21)</t>
  </si>
  <si>
    <t>สวัสดีค่ะ สำหรับข้อมูลเรื่องการรายงานข้อมูลในเครดิตบูโร (NCB) เมื่อเข้าร่วมมาตรการปรับโครงสร้างหนี้ภายใต้โครงการ “คุณสู้ เราช่วย” นั้น มีระบุไว้ว่าหากท่านเข้าร่วมมาตรการ จะมีการรายงานข้อมูลใน NCB ว่าเข้าร่วมมาตรการค่ะ
หากท่านมีข้อสงสัยเพิ่มเติม สามารถติดต่อสอบถามได้ที่ Krungthai Contact Center 02 111 1111 กด 99 หรือ BOT Contact Center 1213 นะคะ</t>
  </si>
  <si>
    <t>ข้อมูลที่บอทให้เรื่องการรายงานข้อมูลใน NCB เมื่อเข้าร่วมมาตรการนั้นถูกต้องตามเอกสารอ้างอิงสำหรับทุกมาตรการภายใต้โครงการ "คุณสู้ เราช่วย"</t>
  </si>
  <si>
    <t>บอทตอบตรงประเด็นในส่วนที่ว่ามีการรายงานข้อมูลใน NCB ซึ่งเป็นส่วนหนึ่งของคำถามเรื่องบูโร แต่ไม่ได้ให้ข้อมูลที่ครบถ้วนเกี่ยวกับผลกระทบระยะสั้นและระยะยาวต่อคะแนนเครดิตตามที่คำถามต้องการทราบอย่างชัดเจน อย่างไรก็ตาม การกางเงื่อนไขที่ถูกต้องถือว่ายอมรับได้ตามหลัก Safety Over Rejection</t>
  </si>
  <si>
    <t>Context ที่ดึงมาเกี่ยวข้องโดยตรงกับคำถามเรื่องการรายงานข้อมูลในเครดิตบูโรภายใต้โครงการที่เกี่ยวข้อง</t>
  </si>
  <si>
    <t>ควรให้ข้อมูลเพิ่มเติมเกี่ยวกับผลกระทบต่อคะแนนเครดิตทั้งในระยะสั้นและระยะยาวเมื่อมีการรวมหนี้และปิดบัตรหลายใบ เพื่อตอบคำถามของลูกค้าได้อย่างครบถ้วนยิ่งขึ้น</t>
  </si>
  <si>
    <t>TC-061</t>
  </si>
  <si>
    <t>Relief</t>
  </si>
  <si>
    <t>ลูกค้าวิกฤตรายได้หายสิ้นเชิง ต้องการพักชำระหนี้ทั้งหมดชั่วคราว</t>
  </si>
  <si>
    <t>"ตกงานกะทันหัน ไม่มีเงินติดตัวเลย ขอหยุดจ่ายทั้งต้นทั้งดอกก่อนได้ไหม"</t>
  </si>
  <si>
    <t>สามารถขอพักชำระทั้งเงินต้นและดอกเบี้ยได้เป็นระยะเวลาสั้น ๆ เช่น 3-6 เดือน เพื่อให้มีเวลาปรับตัวหรือหางานใหม่ (ที่มา: ktb-info-v3p0.txt, บรรทัด 50-50)</t>
  </si>
  <si>
    <t>สวัสดีค่ะ สำหรับความกังวลเรื่องการหยุดจ่ายทั้งต้นและดอกเบี้ยนั้น ในข้อมูลโครงการ “คุณสู้ เราช่วย” ไม่ได้ระบุมาตรการที่ให้หยุดจ่ายชำระหนี้ทั้งหมดค่ะ
หากท่านต้องการทราบรายละเอียดหรือตรวจสอบสิทธิ์ตามเงื่อนไขของแต่ละสถาบันการเงิน แนะนำให้ติดต่อ Krungthai Contact Center 02 111 1111 กด 99 หรือ BOT Contact Center 1213 โดยตรงนะคะ</t>
  </si>
  <si>
    <t>บอทระบุถูกต้องว่าโครงการ "คุณสู้ เราช่วย" ไม่มีมาตรการที่ให้หยุดจ่ายชำระหนี้ทั้งหมดตามข้อมูลที่ให้มา</t>
  </si>
  <si>
    <t>บอทตอบตรงประเด็นโดยระบุว่ามาตรการที่ลูกค้าต้องการไม่มีในโครงการที่อ้างอิง และแนะนำช่องทางการติดต่อเพิ่มเติม ซึ่งเป็นการตอบแบบ Safe Response ที่ยอมรับได้เมื่อข้อมูลไม่ตรงกับคำถามโดยตรง</t>
  </si>
  <si>
    <t>Context ที่ดึงมาเกี่ยวข้องโดยตรงกับโครงการ "คุณสู้ เราช่วย" ซึ่งเป็นหัวข้อที่บอทใช้ตอบ</t>
  </si>
  <si>
    <t>คำตอบดีแล้ว ไม่จำเป็นต้องปรับปรุงเพิ่มเติม</t>
  </si>
  <si>
    <t>TC-062</t>
  </si>
  <si>
    <t>ทดสอบความเข้าใจเรื่องภาระดอกเบี้ยระหว่างการพักชำระหนี้</t>
  </si>
  <si>
    <t>"ถ้าแบงก์ให้พักหนี้ 6 เดือน ดอกเบี้ยจะหยุดเดินด้วยไหมคะ"</t>
  </si>
  <si>
    <t>ดอกเบี้ยยังคงเดินอยู่ตลอดเวลาที่พักชำระ และต้องนำกลับมาจ่ายคืนภายหลังตามวิธีที่ตกลงกับธนาคาร (ที่มา: ktb-info-v3p0.txt, บรรทัด 50-50)</t>
  </si>
  <si>
    <t>ต้องขออภัยด้วยค่ะ ข้อมูลในโครงการ “คุณสู้ เราช่วย” ที่ได้รับมานั้น ไม่ได้ระบุรายละเอียดเกี่ยวกับการพักหนี้ 6 เดือนโดยตรงค่ะ
หากท่านต้องการสอบถามข้อมูลเพิ่มเติมเกี่ยวกับมาตรการช่วยเหลือ สามารถติดต่อได้ที่ Krungthai Contact Center 02 111 1111 กด 99 หรือ BOT Contact Center 1213 ค่ะ</t>
  </si>
  <si>
    <t>บอทตอบถูกต้องตามข้อมูลที่ได้รับมาว่าไม่มีรายละเอียดเกี่ยวกับการพักหนี้ 6 เดือนโดยตรงในโครงการ "คุณสู้ เราช่วย" และไม่ได้ให้ข้อมูลที่ผิดพลาดหรือมโนขึ้นมา</t>
  </si>
  <si>
    <t>บอทตอบตรงประเด็นโดยแจ้งว่าข้อมูลที่ลูกค้าถามไม่มีในเอกสาร และแนะนำช่องทางการติดต่อเพิ่มเติม ซึ่งเป็นการตอบแบบ Safe Response ที่ยอมรับได้เมื่อข้อมูลไม่เพียงพอต่อการฟันธง</t>
  </si>
  <si>
    <t>บอทดึงข้อมูลจาก Context มาวิเคราะห์และสรุปได้ถูกต้องว่าไม่มีข้อมูลที่ตรงกับคำถามของลูกค้า</t>
  </si>
  <si>
    <t>ควรมีข้อมูลเกี่ยวกับมาตรการพักหนี้ทั่วไป (เช่น การพักชำระหนี้ 6 เดือน) และผลกระทบต่อดอกเบี้ย เพื่อให้บอทสามารถตอบคำถามประเภทนี้ได้โดยตรง</t>
  </si>
  <si>
    <t>TC-063</t>
  </si>
  <si>
    <t>ทดสอบทางออกเมื่อมาตรการพักหนี้สิ้นสุดแต่รายได้ยังไม่กลับมา</t>
  </si>
  <si>
    <t>"จะครบกำหนดพักหนี้แล้วแต่ยังหางานไม่ได้เลย ต้องทำยังไงต่อดี"</t>
  </si>
  <si>
    <t>ให้รีบเจรจาขอความช่วยเหลืออื่น เช่น ขอจ่ายแบบขั้นบันได (จ่ายน้อยในช่วงแรก) หรือสำรวจทรัพย์สินที่พอจะขายได้มาช่วยชำระหนี้ (ที่มา: ktb-info-v3p0.txt, บรรทัด 51-51)</t>
  </si>
  <si>
    <t>สวัสดีค่ะ สำหรับกรณีที่ท่านมีความกังวลเรื่องการชำระหนี้หลังจากสิ้นสุดระยะเวลาพักชำระหนี้ ท่านสามารถศึกษาข้อมูลโครงการ “คุณสู้ เราช่วย” ซึ่งมีมาตรการช่วยเหลือลูกหนี้ในรูปแบบต่างๆ เช่น การปรับโครงสร้างหนี้เพื่อลดค่างวดหรือปิดจบหนี้ได้ค่ะ
ทั้งนี้ 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และเงื่อนไขก่อนลงทะเบียนเข้าร่วมโครงการนะคะ 
หากท่านต้องการสอบถามข้อมูลเพิ่มเติม สามารถติดต่อ Krungthai Contact Center 02 111 1111 กด 99 หรือ BOT Contact Center 1213 ค่ะ</t>
  </si>
  <si>
    <t>บอทอ้างอิงถึงโครงการ "คุณสู้ เราช่วย" และประเภทของมาตรการช่วยเหลือ (ปรับโครงสร้างหนี้เพื่อลดค่างวดหรือปิดจบหนี้) ได้ถูกต้องตามเอกสาร รวมถึงคำแนะนำให้ศึกษาเงื่อนไขเพิ่มเติม ซึ่งเป็นการตอบแบบ Safe Response ที่ถูกต้อง</t>
  </si>
  <si>
    <t>บอทแนะนำโครงการที่เกี่ยวข้องกับการช่วยเหลือลูกหนี้ที่กำลังประสบปัญหา ซึ่งตรงประเด็นกับคำถามของลูกค้า แม้จะไม่ได้ฟันธงหรือให้คำแนะนำเฉพาะเจาะจง แต่การกางเงื่อนไขและช่องทางการติดต่อเพิ่มเติมถือว่ายอมรับได้ตามหลัก Safety Over Rejection</t>
  </si>
  <si>
    <t>Context ที่ดึงมาเกี่ยวข้องโดยตรงกับโครงการ "คุณสู้ เราช่วย" ซึ่งเป็นหัวข้อหลักของคำตอบ</t>
  </si>
  <si>
    <t>บอทสามารถให้ข้อมูลตัวอย่างมาตรการที่อาจเกี่ยวข้องกับสถานการณ์ของลูกค้าได้ละเอียดขึ้น เช่น มาตรการ "จ่ายตรง คงทรัพย์" หรือ "จ่าย ปิด จบ" เพื่อให้ลูกค้าเห็นภาพรวมของทางเลือกได้ชัดเจนขึ้น ก่อนที่จะแนะนำให้ศึกษาเงื่อนไขเฉพาะ</t>
  </si>
  <si>
    <t>TC-064</t>
  </si>
  <si>
    <t>เตือนผลกระทบของการปล่อยให้เป็นหนี้เสียโดยไม่เจรจา</t>
  </si>
  <si>
    <t>"ถ้าผมปล่อยค้างไปเลย ไม่ไปคุยกับแบงก์ จะเสียสิทธิ์ช่วยแบบไหนบ้าง"</t>
  </si>
  <si>
    <t>หากค้างชำระจนเป็นหนี้เสีย (เกิน 90 วัน) จะยิ่งทำให้มีโอกาสได้รับความช่วยเหลือจากธนาคารน้อยลงไปอีก (ที่มา: ktb-info-v3p0.txt, บรรทัด 51-51)</t>
  </si>
  <si>
    <t>ขออภัยค่ะ ข้อมูลที่ท่านสอบถามเกี่ยวกับผลกระทบของการไม่ติดต่อธนาคารเมื่อค้างชำระหนี้ ไม่ได้ระบุไว้ในรายละเอียดของโครงการค่ะ
หากท่านมีข้อสงสัยเพิ่มเติมหรือต้องการคำปรึกษาเกี่ยวกับสถานะหนี้ของท่าน สามารถติดต่อ Krungthai Contact Center 02 111 1111 กด 99 หรือ BOT Contact Center 1213 ได้โดยตรงนะคะ</t>
  </si>
  <si>
    <t>บอทระบุว่าข้อมูลที่สอบถามไม่ได้ระบุไว้ในรายละเอียดของโครงการ ซึ่งถูกต้องตาม Context ที่ให้มา เนื่องจาก Context ไม่ได้ระบุผลกระทบของการไม่ติดต่อธนาคารเมื่อค้างชำระหนี้โดยตรง แต่เน้นที่เงื่อนไขการเข้าร่วมมาตรการต่างๆ</t>
  </si>
  <si>
    <t>บอทไม่สามารถฟันธงได้โดยตรงเนื่องจากข้อมูลไม่อยู่ใน Context แต่เลือกที่จะตอบแบบปลอดภัยโดยแจ้งว่าข้อมูลไม่ระบุไว้และแนะนำให้ติดต่อหน่วยงานที่เกี่ยวข้อง ซึ่งถือว่ายอมรับได้ตามเกณฑ์ "Safety Over Rejection"</t>
  </si>
  <si>
    <t>บอทสามารถระบุได้ว่าข้อมูลที่ลูกค้าสอบถามไม่ได้อยู่ใน Context ที่ได้รับมาอย่างถูกต้อง</t>
  </si>
  <si>
    <t>หากมีข้อมูลทั่วไปเกี่ยวกับผลกระทบของการไม่ติดต่อธนาคารเมื่อค้างชำระหนี้ที่สามารถนำมาใช้ได้โดยไม่ขัดกับหลักฐาน ควรพิจารณาเพิ่มข้อมูลนั้นเพื่อตอบคำถามลูกค้าให้สมบูรณ์ยิ่งขึ้น แต่ในกรณีนี้ การตอบตาม Context ที่มีถือว่าถูกต้องแล้ว</t>
  </si>
  <si>
    <t>TC-065</t>
  </si>
  <si>
    <t>ทดสอบมาตรการช่วยเหลือหนี้เสียยอดต่ำ (มาตรการที่ 2)</t>
  </si>
  <si>
    <t>"มีหนี้เสียบัตรเครดิตยอด 8,000 บาท อยากขอปิดจบแบบมีส่วนลดได้ไหม"</t>
  </si>
  <si>
    <t>สามารถเข้าร่วมมาตรการ "จ่าย ปิด จบ" โดยชำระหนี้เพียงบางส่วนเพื่อปิดบัญชีได้ทันทีสำหรับหนี้เสียยอดไม่เกิน 10,000 บาท (ที่มา: khunsoo-v3p0.txt, บรรทัด 10-11)</t>
  </si>
  <si>
    <t xml:space="preserve">สวัสดีค่ะ สำหรับยอดหนี้บัตรเครดิต 8,000 บาท ท่านสามารถพิจารณาเข้าร่วมมาตรการที่ 2 “จ่าย ปิด จบ” ได้ค่ะ ซึ่งเป็นมาตรการสำหรับสินเชื่อไม่มีหลักประกันที่มีภาระหนี้ไม่เกิน 10,000 บาทต่อบัญชี โดยท่านต้องมีสถานะเป็นหนี้เสีย (NPL) ณ วันที่ 31 ตุลาคม 2567 ค่ะ </t>
  </si>
  <si>
    <t>บอทระบุมาตรการและเงื่อนไขที่ถูกต้อง 100% ตามเอกสารอ้างอิง โดยเฉพาะเงื่อนไขยอดหนี้ไม่เกิน 10,000 บาท และสถานะหนี้เสีย ณ วันที่ 31 ตุลาคม 2567</t>
  </si>
  <si>
    <t>บอทตอบตรงประเด็นคำถามของลูกค้าที่ต้องการปิดจบหนี้เสียบัตรเครดิตยอด 8,000 บาท โดยแนะนำมาตรการที่เหมาะสมและระบุเงื่อนไขที่เกี่ยวข้องอย่างครบถ้วน ทำให้ลูกค้าสามารถพิจารณาคุณสมบัติของตนเองได้</t>
  </si>
  <si>
    <t>ภาษาที่ใช้เป็นธรรมชาติ สั้นกระชับ และเข้าใจง่าย จัดรูปแบบการตอบได้ดี</t>
  </si>
  <si>
    <t>บอทดึงข้อมูลจากมาตรการที่ 2 “จ่าย ปิด จบ” ซึ่งเป็นมาตรการที่ตรงกับคำถามของลูกค้ามากที่สุด</t>
  </si>
  <si>
    <t>TC-066</t>
  </si>
  <si>
    <t>ทดสอบข้อจำกัดของหนี้ที่อยู่ในชั้นกฎหมายหรือถูกขายออกไป</t>
  </si>
  <si>
    <t>"หนี้โดนฟ้องหรือขายให้บริษัทอื่นไปแล้ว ยังขอพักหนี้กับธนาคารได้ไหม"</t>
  </si>
  <si>
    <t>หนี้ที่อยู่ในชั้นกฎหมายอาจไม่สามารถนำมารวมหรือพักในเกณฑ์ปกติได้ ต้องอาศัยมาตรการปรับโครงสร้างหนี้กับเจ้าหนี้โดยตรง (ที่มา: ktb-info-1574-v3p1.txt, บรรทัด 19-19)</t>
  </si>
  <si>
    <t>ขออภัยค่ะ ข้อมูลในโครงการ “คุณสู้ เราช่วย” ไม่ได้ระบุเงื่อนไขกรณีหนี้ที่ถูกฟ้องร้องหรือขายให้บริษัทอื่นไว้ค่ะ
หากท่านต้องการสอบถามรายละเอียดเพิ่มเติมเกี่ยวกับเงื่อนไขโครงการ สามารถติดต่อ Krungthai Contact Center 02 111 1111 กด 99 หรือ BOT Contact Center 1213 นะคะ</t>
  </si>
  <si>
    <t>บอทระบุว่าข้อมูลในโครงการ “คุณสู้ เราช่วย” ไม่ได้ระบุเงื่อนไขกรณีหนี้ที่ถูกฟ้องร้องหรือขายให้บริษัทอื่นไว้ ซึ่งถูกต้องตามข้อมูลอ้างอิงที่ให้มา (khunsoo-v3p0.txt ไม่มีข้อมูลส่วนนี้)</t>
  </si>
  <si>
    <t>บอทตอบตรงคำถามโดยระบุว่าข้อมูลที่ถามไม่มีในเอกสาร และแนะนำช่องทางการติดต่อเพิ่มเติม ซึ่งถือว่ายอมรับได้ตามเกณฑ์ "Safety Over Rejection" และ "Acceptable at 3" เนื่องจากบอทไม่สามารถฟันธงได้จากข้อมูลที่มี</t>
  </si>
  <si>
    <t>Context ที่ดึงมาเกี่ยวข้องกับโครงการ "คุณสู้ เราช่วย" ซึ่งเป็นหัวข้อที่บอทอ้างถึง แต่ไม่มีข้อมูลเฉพาะเจาะจงเกี่ยวกับหนี้ที่ถูกฟ้องร้องหรือขายให้บริษัทอื่น</t>
  </si>
  <si>
    <t>หากมีข้อมูลเกี่ยวกับหนี้ที่อยู่ในชั้นกฎหมายหรือถูกขายให้บริษัทอื่นในเอกสารอ้างอิง ควรนำมาใช้เพื่อให้คำตอบที่สมบูรณ์ยิ่งขึ้น</t>
  </si>
  <si>
    <t>TC-067</t>
  </si>
  <si>
    <t>ทดสอบความเข้าใจเรื่องการขอส่วนลดปิดบัญชี (Haircut)</t>
  </si>
  <si>
    <t>"มีเงินก้อนสุดท้ายจากการขายรถ แต่อยากปิดหนี้บัตร 1 แสนที่มี แบงก์ลดให้ได้ไหม"</t>
  </si>
  <si>
    <t>สามารถขอ "แฮร์คัต" (Haircut) หรือการขอส่วนลดเพื่อปิดบัญชีทันทีด้วยเงินก้อนที่น้อยกว่ายอดหนี้ทั้งหมดได้ (ที่มา: ktb-info-v3p0.txt, บรรทัด 49-49)</t>
  </si>
  <si>
    <t>ต้องขออภัยด้วยค่ะ สำหรับกรณีหนี้บัตรเครดิต 100,000 บาท ข้อมูลในโครงการ “คุณสู้ เราช่วย” ไม่ได้ระบุถึงมาตรการลดหนี้เงินต้นสำหรับยอดหนี้จำนวนดังกล่าวไว้ค่ะ
หากต้องการสอบถามรายละเอียดเพิ่มเติมหรือตรวจสอบเงื่อนไขกับทางธนาคารโดยตรง สามารถติดต่อ Krungthai Contact Center 02 111 1111 กด 99 หรือ BOT Contact Center 1213 ได้เลยนะคะ</t>
  </si>
  <si>
    <t>บอทระบุถูกต้องว่าโครงการ “คุณสู้ เราช่วย” ไม่ได้ระบุมาตรการลดหนี้เงินต้นสำหรับยอดหนี้ 100,000 บาท เนื่องจากมาตรการที่ 2 “จ่าย ปิด จบ” กำหนดหนี้ไม่เกิน 10,000 บาท และมาตรการที่ 3 “จ่าย ตัด ต้น” กำหนดหนี้ไม่เกิน 50,000 บาท</t>
  </si>
  <si>
    <t>บอทไม่ได้ฟันธงปฏิเสธลูกค้าโดยตรง แต่ใช้วิธีทวนเงื่อนไขสำคัญที่ถูกต้องของโครงการ “คุณสู้ เราช่วย” เพื่อให้ลูกค้าพิจารณาตนเอง และแนะนำให้ติดต่อธนาคารโดยตรง ซึ่งถือว่ายอมรับได้และช่วยลดความเสี่ยงจากการให้ข้อมูลผิดพลาด</t>
  </si>
  <si>
    <t>Context ที่ดึงมาเกี่ยวข้องโดยตรงกับคำถามเรื่องมาตรการช่วยเหลือลูกหนี้และเงื่อนไขของโครงการ “คุณสู้ เราช่วย”</t>
  </si>
  <si>
    <t>หากมีข้อมูลเกี่ยวกับมาตรการ "แฮร์คัต" หรือการขอส่วนลดเพื่อปิดบัญชีทันทีจากแหล่งอื่นนอกเหนือจากโครงการ "คุณสู้ เราช่วย" ใน Context จะช่วยให้บอทสามารถให้คำตอบที่ตรงประเด็นและครบถ้วนมากขึ้น</t>
  </si>
  <si>
    <t>TC-068</t>
  </si>
  <si>
    <t>ทดสอบข้อควรระวังในการทำสัญญาที่เกินกำลังในภาวะวิกฤต</t>
  </si>
  <si>
    <t>"แบงก์ให้พักแค่ 3 เดือน แต่ผมยังไม่ไหว ควรเซ็นรับเงื่อนไขไปก่อนไหม"</t>
  </si>
  <si>
    <t>ไม่ควรลงนามในสัญญาที่จ่ายไม่ไหว เพราะจะทำให้การปรับโครงสร้างหนี้ครั้งต่อไปทำได้ยากขึ้น ให้เจรจาขอนัดชำระแบบอื่นแทน (ที่มา: ktb-info-v3p0.txt, บรรทัด 52-52)</t>
  </si>
  <si>
    <t xml:space="preserve">สวัสดีค่ะ สำหรับความกังวลใจเรื่องมาตรการพักชำระหนี้ ทางธนาคารขอเรียนว่ามาตรการของผู้ให้บริการแต่ละแห่งจะมีเงื่อนไขที่แตกต่างกันค่ะ
หากท่านต้องการคำแนะนำหรือปรึกษาเรื่องการปรับโครงสร้างหนี้เพิ่มเติม ขอแนะนำให้ติดต่อเจ้าหน้าที่โดยตรงที่ธนาคารกรุงไทยทุกสาขา หรือสอบถามผ่าน Krungthai Contact Center 02 111 1111 กด 99 หรือ BOT Contact Center 1213 เพื่อให้เจ้าหน้าที่พิจารณาตามความสามารถในการชำระหนี้ของท่านโดยเฉพาะค่ะ
</t>
  </si>
  <si>
    <t>ข้อมูลที่บอทให้ถูกต้องตามเอกสาร โดยเฉพาะประเด็นที่ว่ามาตรการของผู้ให้บริการแต่ละแห่งมีเงื่อนไขที่แตกต่างกัน และการแนะนำให้ติดต่อเจ้าหน้าที่โดยตรงเป็นคำแนะนำที่ปลอดภัยและถูกต้อง</t>
  </si>
  <si>
    <t>บอทไม่ได้ฟันธงว่าควรเซ็นหรือไม่ แต่เลือกที่จะกางเงื่อนไขสำคัญว่ามาตรการแต่ละแห่งต่างกัน และแนะนำให้ปรึกษาเจ้าหน้าที่เพื่อพิจารณาตามความสามารถในการชำระหนี้ ซึ่งถือว่ายอมรับได้และช่วยลดความเสี่ยงจากการให้ข้อมูลผิดพลาด</t>
  </si>
  <si>
    <t>Context ที่ดึงมาเกี่ยวข้องโดยตรงกับโครงการและมาตรการปรับโครงสร้างหนี้ รวมถึงข้อมูลการติดต่อ</t>
  </si>
  <si>
    <t>บอทสามารถแสดงความเข้าใจในสถานการณ์ของลูกค้า (เช่น ความกังวลเรื่องระยะเวลา 3 เดือน) ก่อนที่จะแนะนำให้ติดต่อเจ้าหน้าที่ เพื่อให้คำตอบดูเป็นธรรมชาติและเข้าอกเข้าใจลูกค้ามากขึ้น</t>
  </si>
  <si>
    <t>TC-069</t>
  </si>
  <si>
    <t>ทดสอบข้อมูลการรายงานเครดิตบูโรในกรณีปรับโครงสร้างหนี้มีปัญหา</t>
  </si>
  <si>
    <t>"ถ้าพักหนี้ทั้งต้นและดอก ประวัติบูโรจะแสดงสถานะยังไง"</t>
  </si>
  <si>
    <t>จะถูกบันทึกเป็นบัญชีปรับโครงสร้างหนี้ (TDR) ซึ่งเป็นประเภทของสัญญาสำหรับลูกหนี้ที่มีปัญหา (ที่มา: ktb-info-v3p0.txt, บรรทัด 41-41)</t>
  </si>
  <si>
    <t xml:space="preserve">ขออภัยค่ะ ข้อมูลที่ท่านสอบถามเกี่ยวกับสถานะในเครดิตบูโร (NCB) เมื่อเข้าร่วมมาตรการพักชำระหนี้ ระบุไว้เพียงว่าจะมีการรายงานข้อมูลใน NCB ว่าท่านได้เข้าร่วมมาตรการค่ะ
หากท่านต้องการทราบรายละเอียดเพิ่มเติม สามารถติดต่อสอบถามได้ที่ Krungthai Contact Center 02 111 1111 กด 99 หรือ BOT Contact Center 1213 ค่ะ
</t>
  </si>
  <si>
    <t>บอทตอบถูกต้องตามข้อมูลที่ระบุใน Context ว่าจะมีการรายงานข้อมูลใน NCB ว่าเข้าร่วมมาตรการ และไม่ได้ให้ข้อมูลที่ผิดหรือ Hallucination แม้ว่าข้อมูลที่คาดหวัง (Expected Output) จะมีรายละเอียดเพิ่มเติมที่ไม่อยู่ใน Context ก็ตาม</t>
  </si>
  <si>
    <t>บอทตอบตรงประเด็นในส่วนที่สามารถตอบได้จาก Context และเลือกที่จะไม่ฟันธงในรายละเอียดที่ไม่มีข้อมูล แต่แนะนำช่องทางการติดต่อเพิ่มเติม ซึ่งถือเป็นแนวทางที่ยอมรับได้และปลอดภัย</t>
  </si>
  <si>
    <t>Context ที่ดึงมาเกี่ยวข้องโดยตรงกับคำถามเรื่องสถานะในเครดิตบูโร โดยระบุถึงการรายงานข้อมูลใน NCB</t>
  </si>
  <si>
    <t>หากต้องการให้บอทตอบรายละเอียดเพิ่มเติมเกี่ยวกับสถานะ TDR (บัญชีปรับโครงสร้างหนี้) ควรเพิ่มข้อมูลดังกล่าวลงใน Context</t>
  </si>
  <si>
    <t>TC-070</t>
  </si>
  <si>
    <t>แนะนำหน่วยงานช่วยเหลือภายนอกเมื่อเจรจากับเจ้าหนี้ไม่สำเร็จ</t>
  </si>
  <si>
    <t>"แบงก์ไม่ยอมให้พักหนี้เลย ทั้งที่เดือดร้อนจริง ติดต่อใครช่วยประสานงานได้บ้าง"</t>
  </si>
  <si>
    <t>สามารถติดต่อ BOT Contact Center 1213 หรือ SAM Call Center 1443 เพื่อขอคำปรึกษาและช่องทางช่วยเหลือ (ที่มา: ktb-info-1576-v3p1.txt, บรรทัด 39-39)</t>
  </si>
  <si>
    <t>สวัสดีค่ะ สำหรับกรณีที่ท่านมีความประสงค์ต้องการความช่วยเหลือด้านการชำระหนี้ ท่านสามารถศึกษารายละเอียดและเงื่อนไขของโครงการ “คุณสู้ เราช่วย” เพื่อตรวจสอบคุณสมบัติเบื้องต้นได้ค่ะ 
ทั้งนี้ มาตรการของผู้ให้บริการแต่ละแห่งมีเงื่อนไขที่แตกต่างกันค่ะ หากต้องการข้อมูลเพิ่มเติมหรือประสานงาน รบกวนติดต่อ Krungthai Contact Center 02 111 1111 กด 99 หรือ BOT Contact Center 1213 ค่ะ</t>
  </si>
  <si>
    <t>บอทให้ข้อมูลโครงการ "คุณสู้ เราช่วย" และเงื่อนไขทั่วไปที่ถูกต้องตามเอกสาร รวมถึงเบอร์ BOT Contact Center 1213 ที่ถูกต้อง อย่างไรก็ตาม บอทได้เพิ่มเบอร์ Krungthai Contact Center ซึ่งไม่มีใน Context ที่ให้มา และไม่ได้ให้เบอร์ SAM Call Center 1443 ตาม Expected Output การให้ข้อมูลที่ไม่ปรากฏใน Context ถือเป็น Hallucination แต่เนื่องจากส่วนหลักของคำตอบ (โครงการและ BOT Contact Center) ถูกต้อง และเป็นลักษณะการตอบแบบกางเงื่อนไขเพื่อความปลอดภัย จึงให้ 3 คะแนน</t>
  </si>
  <si>
    <t>บอทตอบตรงประเด็นโดยแนะนำโครงการที่เกี่ยวข้องกับการช่วยเหลือลูกหนี้ และให้ช่องทางการติดต่อเพื่อขอความช่วยเหลือเพิ่มเติม ซึ่งเป็นการตอบแบบกางเงื่อนไขและให้ทางเลือกแก่ลูกค้า ถือว่ายอมรับได้ตามเกณฑ์ "Acceptable at 3" ในกรณีที่บอทไม่ฟันธงหรือเลือกที่จะไม่ปฏิเสธลูกค้าโดยตรง</t>
  </si>
  <si>
    <t>Context ที่ดึงมาเกี่ยวข้องโดยตรงกับโครงการ "คุณสู้ เราช่วย" และข้อมูลที่บอทใช้ในการตอบคำถามส่วนใหญ่มาจาก Context ที่เกี่ยวข้อง</t>
  </si>
  <si>
    <t>บอทควรให้ข้อมูลช่องทางการติดต่อที่ครบถ้วนตาม Expected Output และหลีกเลี่ยงการเพิ่มข้อมูลที่ไม่มีใน Context ที่ให้มา เช่น เบอร์ Krungthai Contact Center ควรเพิ่มเบอร์ SAM Call Center 1443 ด้วย</t>
  </si>
  <si>
    <t>TC-071</t>
  </si>
  <si>
    <t>ทดสอบความถูกต้องของ กำหนดการสิ้นสุดโครงการระยะที่ 2</t>
  </si>
  <si>
    <t>"โครงการคุณสู้ยังสมัครทันไหมครับ เห็นว่าขยายเวลาเพิ่ม"</t>
  </si>
  <si>
    <t>สามารถลงทะเบียนได้จนถึงวันที่ 30 กันยายน 2568 เนื่องจากมีการขยายระยะเวลาจากเดิม</t>
  </si>
  <si>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และเงื่อนไขก่อนลงทะเบียนอีกครั้งนะคะ </t>
  </si>
  <si>
    <t>ข้อมูลถูกต้อง 100% ตาม Context ทั้งเรื่องวันหมดเขตและคำเตือนให้ตรวจสอบเงื่อนไขเพิ่มเติม</t>
  </si>
  <si>
    <t>ตอบตรงคำถามของลูกค้าที่สอบถามเรื่องการขยายเวลาและยังสมัครทันหรือไม่ พร้อมให้ข้อมูลที่ถูกต้องและคำแนะนำเพิ่มเติมที่เป็นประโยชน์</t>
  </si>
  <si>
    <t>Context ที่ดึงมาเกี่ยวข้องโดยตรงกับคำถามและมีข้อมูลที่ถูกต้องครบถ้วน</t>
  </si>
  <si>
    <t>ไม่มีคำแนะนำเพิ่มเติม เนื่องจากคำตอบดีมากแล้ว</t>
  </si>
  <si>
    <t>TC-072</t>
  </si>
  <si>
    <t>ทดสอบการแนะนำ ช่องทางติดต่อและลงทะเบียน</t>
  </si>
  <si>
    <t>"อยากสมัครโครงการต้องไปที่ไหน หรือโทรเบอร์อะไรได้บ้าง"</t>
  </si>
  <si>
    <t>ติดต่อได้ที่ BOT Contact Center 1213, SAM Call Center 1443 หรือ Krungthai Contact Center 02 111 1111 กด 99 และสาขาธนาคารกรุงไทย</t>
  </si>
  <si>
    <t xml:space="preserve">สำหรับการสมัครโครงการ “ปิดหนี้ไวไปต่อได้” ท่านสามารถติดต่อได้ที่ธนาคารกรุงไทยทุกสาขา หรือสอบถามผ่านช่องทาง ธปท. และ SAM ได้ตั้งแต่วันที่ 5 มกราคม 2569 เป็นต้นไปค่ะ </t>
  </si>
  <si>
    <t>ข้อมูลการติดต่อสำหรับโครงการ "ปิดหนี้ไวไปต่อได้" ถูกต้อง 100% ตามเอกสารอ้างอิง</t>
  </si>
  <si>
    <t>บอทตอบตรงประเด็นโดยให้ข้อมูลการติดต่อสำหรับโครงการปรับโครงสร้างหนี้ อย่างไรก็ตาม บอทเลือกที่จะให้ข้อมูลเฉพาะโครงการ "ปิดหนี้ไวไปต่อได้" แทนที่จะเป็นข้อมูลการติดต่อที่ครอบคลุมสำหรับโครงการปรับโครงสร้างหนี้ทั้งหมดตามที่คาดหวัง แต่ก็ถือว่ายอมรับได้เนื่องจากเป็นการให้แนวทางที่ถูกต้องแก่ลูกค้า</t>
  </si>
  <si>
    <t>[file_name: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t>
  </si>
  <si>
    <t>บอทดึงข้อมูลที่เกี่ยวข้องโดยตรงเกี่ยวกับโครงการ "ปิดหนี้ไวไปต่อได้" และช่องทางการติดต่อจากเอกสาร `ktb-info-1576-v3p1.txt`</t>
  </si>
  <si>
    <t>ควรพิจารณาให้ข้อมูลการติดต่อที่ครอบคลุมมากขึ้นสำหรับโครงการปรับโครงสร้างหนี้โดยรวม หรือสอบถามผู้ใช้ว่าสนใจโครงการใดเป็นพิเศษ หากคำถามของผู้ใช้มีความกว้างกว่านี้</t>
  </si>
  <si>
    <t>TC-073</t>
  </si>
  <si>
    <t>ทดสอบขั้นตอนกรณี สินเชื่อที่มีผู้กู้ร่วม</t>
  </si>
  <si>
    <t>"กู้ซื้อบ้านกับแฟนสองคน ต้องไปลงทะเบียนทั้งคู่เลยไหม"</t>
  </si>
  <si>
    <t>หากสัญญามีผู้ค้ำประกันหรือผู้กู้ร่วม ผู้ค้ำประกันต้องให้ความยินยอมและลงนามในสัญญาค้ำประกันใหม่</t>
  </si>
  <si>
    <t xml:space="preserve">สวัสดีค่ะ สำหรับรายละเอียดการลงทะเบียนเข้าร่วมโครงการนั้น ข้อมูลที่ได้รับมาไม่ได้ระบุเงื่อนไขเฉพาะเจาะจงเกี่ยวกับการลงทะเบียนสำหรับผู้กู้ร่วมไว้ค่ะ
ทั้งนี้ มาตรการของผู้ให้บริการแต่ละแห่งมีเงื่อนไขที่แตกต่างกันค่ะ รบกวนคุณลูกค้าศึกษารายละเอียด คุณสมบัติ และเงื่อนไขจากสถาบันการเงินของท่านโดยตรง หรือติดต่อ Krungthai Contact Center 02 111 1111 กด 99 หรือ BOT Contact Center 1213 เพื่อสอบถามข้อมูลเพิ่มเติมนะคะ </t>
  </si>
  <si>
    <t>บอทระบุว่าข้อมูลที่ได้รับมาไม่ได้ระบุเงื่อนไขเฉพาะเจาะจงเกี่ยวกับการลงทะเบียนสำหรับผู้กู้ร่วม ซึ่งเป็นความจริงตามเอกสารที่ให้มา และให้คำแนะนำที่ปลอดภัยให้ลูกค้าตรวจสอบกับสถาบันการเงินโดยตรง</t>
  </si>
  <si>
    <t>บอทไม่ได้ฟันธงโดยตรง แต่เลือกที่จะให้คำแนะนำให้ลูกค้าตรวจสอบกับสถาบันการเงิน ซึ่งเป็นแนวทางที่ยอมรับได้เพื่อความปลอดภัยและลดความเสี่ยงจากการให้ข้อมูลผิดพลาด</t>
  </si>
  <si>
    <t>Context ที่ดึงมาเกี่ยวข้องกับโครงการและมาตรการ แต่ไม่ได้มีข้อมูลที่ระบุถึงการลงทะเบียนของผู้กู้ร่วมโดยตรง อย่างไรก็ตาม บอทได้ดึงข้อมูลที่ระบุว่ามาตรการของผู้ให้บริการแต่ละแห่งมีเงื่อนไขที่แตกต่างกันมาประกอบการตอบ ซึ่งถูกต้อง</t>
  </si>
  <si>
    <t>บอทควรพิจารณาเพิ่มข้อมูลเกี่ยวกับเงื่อนไขของผู้ค้ำประกัน (หากมี) ในมาตรการที่ 1 ซึ่งเป็นข้อมูลที่ใกล้เคียงที่สุดในเอกสารที่เกี่ยวข้องกับผู้ที่มีส่วนร่วมในสัญญาเงินกู้ เพื่อให้ข้อมูลครบถ้วนมากขึ้นก่อนแนะนำให้ติดต่อธนาคาร</t>
  </si>
  <si>
    <t>TC-074</t>
  </si>
  <si>
    <t>ทดสอบ บทลงโทษการก่อหนี้ใหม่ ภายใน 12 เดือนแรก</t>
  </si>
  <si>
    <t>"ถ้าเข้าโครงการมาตรการ 1 แล้ว แอบไปกดบัตรเครดิตใบใหม่จะเกิดอะไรขึ้น"</t>
  </si>
  <si>
    <t>ถือว่าผิดเงื่อนไข ห้ามทำสัญญาสินเชื่ออุปโภคบริโภคใหม่ใน 12 เดือนแรก และจะต้อง ออกจากมาตรการทันทีพร้อมชำระดอกเบี้ยที่พักไว้,</t>
  </si>
  <si>
    <t xml:space="preserve">สำหรับการเข้าร่วมมาตรการที่ 1 หากท่านก่อหนี้ใหม่ (ทำสัญญาสินเชื่ออุปโภคบริโภคใหม่) ภายใน 12 เดือนแรกหลังเข้าร่วมมาตรการ ท่านจะต้องออกจากมาตรการและต้องชำระดอกเบี้ยที่ได้รับการพักไว้ทั้งหมดค่ะ
</t>
  </si>
  <si>
    <t>บอทตอบถูกต้องตามเงื่อนไขของมาตรการที่ 1 ที่ระบุว่าห้ามทำสัญญาสินเชื่ออุปโภคบริโภคใหม่ใน 12 เดือนแรก และหากฝ่าฝืนจะต้องออกจากมาตรการและชำระดอกเบี้ยที่พักไว้</t>
  </si>
  <si>
    <t>บอทตอบตรงประเด็นคำถามของลูกค้าและให้ข้อมูลผลลัพธ์ที่ถูกต้องตามเงื่อนไขของมาตรการ</t>
  </si>
  <si>
    <t>ภาษาที่ใช้เข้าใจง่าย กระชับ และชัดเจน</t>
  </si>
  <si>
    <t>Context ที่ดึงมาเกี่ยวข้องโดยตรงกับมาตรการที่ 1 และเงื่อนไขการเข้าร่วม</t>
  </si>
  <si>
    <t>TC-075</t>
  </si>
  <si>
    <t>ทดสอบความเข้าใจเรื่อง การรายงานข้อมูลต่อ NCB</t>
  </si>
  <si>
    <t>"เข้าร่วมโครงการแล้ว ประวัติในบูโรของผมจะเป็นยังไง"</t>
  </si>
  <si>
    <t>จะถูกรายงานข้อมูลใน NCB ว่า "เข้าร่วมมาตรการ" เพื่อเป็นข้อมูลให้สถาบันการเงินทราบสถานะการปรับโครงสร้างหนี้,</t>
  </si>
  <si>
    <t>สำหรับการเข้าร่วมมาตรการในโครงการ “คุณสู้ เราช่วย” นั้น ข้อมูลจะถูกรายงานใน NCB ว่าท่านได้เข้าร่วมมาตรการค่ะ  
หากท่านต้องการสอบถามข้อมูลเพิ่มเติม สามารถติดต่อ Krungthai Contact Center 02 111 1111 กด 99 หรือ BOT Contact Center 1213 ได้โดยตรงนะคะ</t>
  </si>
  <si>
    <t>ข้อมูลถูกต้อง 100% ตาม Context ที่ระบุว่า "จะถูกรายงานข้อมูลใน NCB ว่าเข้าร่วมมาตรการ"</t>
  </si>
  <si>
    <t>ตอบตรงคำถามของลูกค้าเกี่ยวกับประวัติในบูโรหลังเข้าร่วมโครงการ</t>
  </si>
  <si>
    <t>Context เกี่ยวข้องโดยตรงและดึงข้อมูลมาถูกโครงการและมาตรการ</t>
  </si>
  <si>
    <t>TC-076</t>
  </si>
  <si>
    <t>ทดสอบผลกระทบกรณี ผิดนัดชำระค่างวดขั้นต่ำ</t>
  </si>
  <si>
    <t>"ถ้าเดือนไหนผมหมุนเงินไม่ทัน จ่ายค่างวดขั้นต่ำ 50% ไม่ได้ จะโดนตัดสิทธิ์ไหม"</t>
  </si>
  <si>
    <t>หากไม่สามารถชำระค่างวดขั้นต่ำได้ตามที่กำหนด จะต้องออกจากมาตรการและกลับมาชำระดอกเบี้ยที่ได้รับการพักไว้ทั้งหมด,</t>
  </si>
  <si>
    <t xml:space="preserve">สวัสดีค่ะ หากท่านไม่สามารถชำระค่างวดตามที่กำหนดไว้ในเงื่อนไขของโครงการได้ ท่านจะต้องออกจากมาตรการและต้องชำระดอกเบี้ยที่ได้รับการพักไว้ค่ะ
ทั้งนี้ มาตรการของผู้ให้บริการแต่ละแห่งอาจมีเงื่อนไขที่แตกต่างกัน ท่านสามารถตรวจสอบรายละเอียดเพิ่มเติมได้ที่ Krungthai Contact Center 02 111 1111 กด 99 หรือ BOT Contact Center 1213 ค่ะ
</t>
  </si>
  <si>
    <t>บอทตอบถูกต้อง 100% ตามเงื่อนไขที่ระบุในเอกสารอ้างอิง โดยเฉพาะประเด็นเรื่องการออกจากมาตรการและการชำระดอกเบี้ยที่พักไว้</t>
  </si>
  <si>
    <t>บอทตอบตรงประเด็นคำถามของลูกค้าและให้ข้อมูลที่ถูกต้องครบถ้วนเกี่ยวกับผลที่จะเกิดขึ้นหากไม่สามารถชำระค่างวดขั้นต่ำได้</t>
  </si>
  <si>
    <t>Context ที่ดึงมาเกี่ยวข้องโดยตรงกับคำถามของลูกค้า โดยเฉพาะส่วนของมาตรการที่ 1 "จ่ายตรง คงทรัพย์" และเงื่อนไขการเข้าร่วมมาตรการ</t>
  </si>
  <si>
    <t>TC-077</t>
  </si>
  <si>
    <t>ทดสอบเงื่อนไขการได้รับ สิทธิยกเว้นดอกเบี้ยตั้งพัก</t>
  </si>
  <si>
    <t>"มาตรการที่ 1 บอกว่าพักดอกเบี้ย 3 ปี ผมจะได้รับยกเว้นดอกเบี้ยแน่นอนใช่ไหม"</t>
  </si>
  <si>
    <t>จะได้รับยกเว้นดอกเบี้ยทั้งหมด ก็ต่อเมื่อปฏิบัติตามเงื่อนไขตลอด 3 ปี และไม่ก่อหนี้เพิ่มในช่วง 12 เดือนแรกเท่านั้น,</t>
  </si>
  <si>
    <t xml:space="preserve">สำหรับการพักดอกเบี้ยในมาตรการที่ 1 นั้น ดอกเบี้ยที่พักไว้จะได้รับการยกเว้นทั้งหมดก็ต่อเมื่อท่านสามารถปฏิบัติได้ตามเงื่อนไขตลอดระยะเวลา 3 ปีของมาตรการ และไม่ก่อหนี้ใหม่ในช่วง 12 เดือนแรกหลังเข้าร่วมโครงการค่ะ หากไม่สามารถปฏิบัติตามเงื่อนไขได้ ท่านจะต้องชำระดอกเบี้ยที่ได้รับการพักไว้ค่ะ
</t>
  </si>
  <si>
    <t>บอทตอบถูกต้อง 100% ตามข้อมูลใน Context โดยระบุเงื่อนไขการยกเว้นดอกเบี้ยและผลลัพธ์หากไม่ปฏิบัติตามเงื่อนไขได้อย่างครบถ้วนและถูกต้อง</t>
  </si>
  <si>
    <t>บอทตอบตรงประเด็นคำถามของลูกค้าที่ต้องการความชัดเจนเรื่องการยกเว้นดอกเบี้ย โดยการกางเงื่อนไขที่ถูกต้อง ทำให้ลูกค้าเข้าใจว่าการยกเว้นดอกเบี้ยนั้นมีเงื่อนไข ไม่ใช่การยกเว้นโดยอัตโนมัติ ซึ่งเป็นการตอบแบบ Safe Response ที่เหมาะสม</t>
  </si>
  <si>
    <t>บอทใช้ภาษาที่เป็นธรรมชาติ เข้าใจง่าย และสื่อสารได้อย่างชัดเจน ไม่ซับซ้อน</t>
  </si>
  <si>
    <t>Context ที่ดึงมาเกี่ยวข้องโดยตรงกับคำถามของลูกค้าเกี่ยวกับมาตรการที่ 1 และมีข้อมูลที่จำเป็นทั้งหมดสำหรับการตอบคำถาม</t>
  </si>
  <si>
    <t>TC-078</t>
  </si>
  <si>
    <t>ทดสอบ ข้อยกเว้นการก่อหนี้ใหม่สำหรับ SMEs</t>
  </si>
  <si>
    <t>"เป็นหนี้ SMEs ธุรกิจส่วนตัว ถ้าเข้าโครงการแล้วต้องกู้เงินมาหมุนเวียนเพิ่ม ทำได้ไหม"</t>
  </si>
  <si>
    <t>ทำได้ กรณีสินเชื่อธุรกิจ SMEs ที่จำเป็นต้องเสริมสภาพคล่อง เจ้าหนี้สามารถพิจารณาให้สินเชื่อเพิ่มเติมได้ตามความเหมาะสม,</t>
  </si>
  <si>
    <t xml:space="preserve">สำหรับการกู้เงินเพิ่มเพื่อหมุนเวียนในธุรกิจนั้น หากท่านเข้าร่วมมาตรการ "จ่ายตรง คงทรัพย์" (มาตรการที่ 1) ท่านสามารถทำได้ค่ะ โดยเจ้าหนี้จะพิจารณาให้สินเชื่อเพิ่มเติมเพื่อเสริมสภาพคล่องตามความเหมาะสมของความสามารถในการชำระหนี้ของท่านค่ะ </t>
  </si>
  <si>
    <t>บอทตอบถูกต้อง 100% ตามเงื่อนไขของมาตรการที่ 1 “จ่ายตรง คงทรัพย์” ที่ระบุว่าลูกหนี้สินเชื่อธุรกิจ SMEs สามารถกู้เงินเพื่อเสริมสภาพคล่องได้ โดยเจ้าหนี้จะพิจารณาตามความเหมาะสม</t>
  </si>
  <si>
    <t>บอทตอบตรงประเด็นคำถามของลูกค้าที่สอบถามเกี่ยวกับการกู้เงินเพิ่มเพื่อหมุนเวียนในธุรกิจ SMEs และระบุมาตรการที่เกี่ยวข้องพร้อมเงื่อนไขที่ถูกต้อง</t>
  </si>
  <si>
    <t>Context ที่ดึงมาเกี่ยวข้องโดยตรงกับคำถามของลูกค้าเกี่ยวกับมาตรการที่ 1 “จ่ายตรง คงทรัพย์” และเงื่อนไขการกู้เงินเพิ่มสำหรับ SMEs</t>
  </si>
  <si>
    <t>TC-079</t>
  </si>
  <si>
    <t>Discovery</t>
  </si>
  <si>
    <t>ทดสอบการให้ข้อมูลพื้นฐานเกี่ยวกับนิยามและหน่วยงานที่รับผิดชอบ</t>
  </si>
  <si>
    <t>"โครงการคุณสู้เราช่วยคืออะไรครับ ใครเป็นคนจัดทำขึ้นมา"</t>
  </si>
  <si>
    <t>เป็นมาตรการชั่วคราวเพื่อช่วยเหลือลูกหนี้รายย่อยและ SMEs โดยความร่วมมือของ ธปท., กระทรวงการคลัง, สศช., สมาคมธนาคารต่างๆ และ Non-Banks</t>
  </si>
  <si>
    <t xml:space="preserve">โครงการ “คุณสู้ เราช่วย” เป็นมาตรการชั่วคราวที่จัดทำขึ้นเพื่อช่วยเหลือลูกหนี้รายย่อยและ SMEs เฉพาะกลุ่ม โดยธนาคารแห่งประเทศไทย (ธปท.) ร่วมกับกระทรวงการคลัง สำนักงานสภาพัฒนาการเศรษฐกิจและสังคมแห่งชาติ และสมาคมสถาบันการเงินต่างๆ ค่ะ </t>
  </si>
  <si>
    <t>บอทให้ข้อมูลถูกต้อง 100% ตาม Context ทั้งในส่วนของโครงการคืออะไร และใครเป็นผู้จัดทำ โดยมีการสรุปชื่อสมาคมต่างๆ เป็น "สมาคมสถาบันการเงินต่างๆ" ซึ่งยังคงความถูกต้องและไม่ทำให้ข้อมูลผิดเพี้ยน</t>
  </si>
  <si>
    <t>บอทตอบตรงคำถามของลูกค้าทั้งสองส่วนอย่างครบถ้วนและกระชับ</t>
  </si>
  <si>
    <t>Context ที่ดึงมาเกี่ยวข้องโดยตรงและมีข้อมูลครบถ้วนสำหรับคำถามนี้</t>
  </si>
  <si>
    <t>TC-080</t>
  </si>
  <si>
    <t>ทดสอบความสามารถในการจำแนกมาตรการหลักทั้ง 3 รูปแบบ</t>
  </si>
  <si>
    <t>"โครงการนี้มีมาตรการช่วยเหลือแบบไหนบ้าง เห็นมีหลายชื่อจัง"</t>
  </si>
  <si>
    <t>มี 3 มาตรการหลักคือ: 1. จ่ายตรง คงทรัพย์ (รักษาหลักประกัน), 2. จ่าย ปิด จบ (ปิดหนี้เสียยอดต่ำ) และ 3. จ่าย ตัด ต้น (ปรับหนี้เสียบัตรเครดิต)</t>
  </si>
  <si>
    <t>สวัสดีค่ะ สำหรับโครงการ “คุณสู้ เราช่วย” มีมาตรการช่วยเหลือแบ่งเป็น 3 รูปแบบหลัก ดังนี้ค่ะ
1. **มาตรการที่ 1 “จ่ายตรง คงทรัพย์”**: สำหรับหนี้บ้าน หนี้รถ และหนี้ธุรกิจ SMEs โดยลดค่างวดและพักดอกเบี้ย 3 ปี เพื่อรักษาหลักประกันไว้ค่ะ 
2. **มาตรการที่ 2 “จ่าย ปิด จบ”**: สำหรับผู้ที่มีหนี้เสียยอดไม่สูง เพื่อให้สามารถชำระและปิดบัญชีได้เร็วขึ้นค่ะ 
3. **มาตรการที่ 3 “จ่าย ตัด ต้น”**: สำหรับหนี้เสียที่ไม่มีหลักประกัน (เช่น บัตรเครดิต) โดยปรับโครงสร้างหนี้ให้ผ่อนชำระเป็นงวด และพักดอกเบี้ยไว้ 3 ปีค่ะ 
เนื่องจากแต่ละมาตรการมีเงื่อนไขและคุณสมบัติที่แตกต่างกัน รบกวนคุณลูกค้าตรวจสอบรายละเอียดเพิ่มเติมก่อนลงทะเบียนนะคะ หากมีข้อสงสัยเพิ่มเติม สามารถติดต่อ Krungthai Contact Center 02 111 1111 กด 99 หรือ BOT Contact Center 1213 ได้เลยค่ะ</t>
  </si>
  <si>
    <t>ข้อมูลที่บอทให้ถูกต้อง 100% ตาม Context และการตอบแบบมีเงื่อนไข (Safe Response) ถือว่าถูกต้องตามหลักการ</t>
  </si>
  <si>
    <t>บอทตอบตรงคำถามและให้ข้อมูลครบถ้วนตามที่ลูกค้าต้องการทราบ โดยเลือกที่จะกางเงื่อนไขเพื่อให้ลูกค้าพิจารณาตนเอง ซึ่งเป็นแนวทางที่เหมาะสมสำหรับคำถามทั่วไป</t>
  </si>
  <si>
    <t>ภาษาเป็นธรรมชาติ สั้นกระชับ จัดรูปแบบดีด้วยการใช้หัวข้อและ bullet points ทำให้เข้าใจง่าย</t>
  </si>
  <si>
    <t>Context ที่ดึงมาเกี่ยวข้องโดยตรงกับคำถามและมีข้อมูลครบถ้วนสำหรับตอบคำถาม</t>
  </si>
  <si>
    <t>ไม่มีคำแนะนำเพิ่มเติม เนื่องจากคำตอบดีเยี่ยมแล้ว</t>
  </si>
  <si>
    <t>TC-081</t>
  </si>
  <si>
    <t>ทดสอบการให้ข้อมูลเกี่ยวกับสถานะปัจจุบันและการขยายเวลาโครงการ</t>
  </si>
  <si>
    <t>"ตอนนี้ยังเปิดรับสมัครอยู่ไหม เห็นว่าโครงการจะจบแล้ว"</t>
  </si>
  <si>
    <t>ปัจจุบันขยายระยะเวลาลงทะเบียน (ระยะที่ 2) จนถึงวันที่ 30 กันยายน 2568</t>
  </si>
  <si>
    <t xml:space="preserve">สวัสดีค่ะ สำหรับโครงการ “คุณสู้ เราช่วย” ยังคงเปิดรับสมัครอยู่นะคะ โดยมีการขยายระยะเวลาลงทะเบียนเข้าร่วมโครงการออกไปจนถึงวันที่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และเงื่อนไขก่อนลงทะเบียนนะคะ </t>
  </si>
  <si>
    <t>ข้อมูลถูกต้อง 100% ตาม Context ระบุว่าโครงการยังเปิดรับสมัครและขยายเวลาถึงวันที่ 30 กันยายน 2568 รวมถึงคำแนะนำให้ศึกษาเงื่อนไขเพิ่มเติมก็ถูกต้องตามเอกสาร</t>
  </si>
  <si>
    <t>ตอบตรงคำถามของลูกค้าที่สอบถามว่าโครงการยังเปิดรับสมัครอยู่หรือไม่ และให้ข้อมูลที่ถูกต้องครบถ้วน</t>
  </si>
  <si>
    <t>Context ที่ดึงมาเกี่ยวข้องโดยตรงและมีข้อมูลที่ใช้ตอบคำถามได้อย่างสมบูรณ์</t>
  </si>
  <si>
    <t>TC-082</t>
  </si>
  <si>
    <t>ทดสอบความเข้าใจเรื่องกลุ่มเป้าหมาย (Target Group)</t>
  </si>
  <si>
    <t>"โครงการนี้ช่วยคนกลุ่มไหนได้บ้าง ต้องเป็นหนี้เสียอย่างเดียวหรือเปล่า"</t>
  </si>
  <si>
    <t>ครอบคลุมทั้งลูกหนี้รายย่อยและ SMEs ทั้งกลุ่มที่ยังไม่เป็นหนี้เสียแต่เริ่มมีปัญหา (มาตรการ 1) และกลุ่มที่เป็นหนี้เสียแล้ว (มาตรการ 2 และ 3)</t>
  </si>
  <si>
    <t>สวัสดีค่ะ โครงการ “คุณสู้ เราช่วย” มีมาตรการช่วยเหลือลูกหนี้รายย่อยและ SMEs ที่หลากหลายค่ะ 
สำหรับเงื่อนไขสถานะหนี้ ไม่จำเป็นต้องเป็นหนี้เสีย (NPL) เสมอไปค่ะ ขึ้นอยู่กับมาตรการที่เลือก:
1. มาตรการที่ 1: ช่วยเหลือลูกหนี้ที่ค้างชำระเกิน 30 วัน หรือลูกหนี้ที่ไม่ค้างชำระ/ค้างไม่เกิน 30 วันแต่เคยมีประวัติค้างชำระและปรับโครงสร้างหนี้มาตั้งแต่วันที่ 1 ม.ค. 65 
2. มาตรการที่ 2 และ 3: สำหรับลูกหนี้ที่มีสถานะเป็นหนี้เสีย (NPL) ค่ะ 
ทั้งนี้ มาตรการของผู้ให้บริการแต่ละแห่งมีเงื่อนไขแตกต่างกัน แนะนำให้ศึกษาคุณสมบัติก่อนลงทะเบียนนะคะ หากต้องการสอบถามข้อมูลเพิ่มเติม สามารถติดต่อ Krungthai Contact Center 02 111 1111 กด 99 หรือ BOT Contact Center 1213 ค่ะ</t>
  </si>
  <si>
    <t>บอทให้ข้อมูลถูกต้อง 100% ตาม Context โดยระบุกลุ่มเป้าหมายและเงื่อนไขสถานะหนี้ของแต่ละมาตรการได้อย่างถูกต้อง</t>
  </si>
  <si>
    <t>บอทตอบตรงคำถามของลูกค้าทั้งสองส่วน คือ โครงการช่วยคนกลุ่มไหน และจำเป็นต้องเป็นหนี้เสียอย่างเดียวหรือไม่ โดยมีการแยกอธิบายตามมาตรการอย่างชัดเจน</t>
  </si>
  <si>
    <t>บอทใช้ภาษาที่เข้าใจง่าย มีการจัดรูปแบบโดยใช้หัวข้อและ bullet points ทำให้ข้อมูลอ่านง่ายและเป็นระเบียบ</t>
  </si>
  <si>
    <t>Context ที่ดึงมาเกี่ยวข้องโดยตรงกับคำถามของลูกค้าเกี่ยวกับโครงการ "คุณสู้ เราช่วย" และเงื่อนไขการเข้าร่วมมาตรการต่างๆ</t>
  </si>
  <si>
    <t>ไม่มีคำแนะนำเพิ่มเติม เนื่องจากคำตอบมีความถูกต้อง ครบถ้วน และเข้าใจง่าย</t>
  </si>
  <si>
    <t>TC-083</t>
  </si>
  <si>
    <t>ทดสอบการอธิบายวัตถุประสงค์เชิงกลยุทธ์ของโครงการ</t>
  </si>
  <si>
    <t>"สรุปแล้วเป้าหมายหลักของโครงการคุณสู้คืออะไรกันแน่"</t>
  </si>
  <si>
    <t>เพื่อช่วยให้ลูกหนี้สามารถปรับโครงสร้างหนี้แบบผ่อนปรน, ลดค่างวด, ลดภาระดอกเบี้ย และสามารถรักษาทรัพย์สินหลักประกันไว้ได้พร้อมเริ่มต้นใหม่</t>
  </si>
  <si>
    <t xml:space="preserve">สวัสดีค่ะ สำหรับโครงการ “คุณสู้ เราช่วย” มีเป้าหมายหลักคือการออกมาตรการชั่วคราวเพื่อช่วยเหลือลูกหนี้รายย่อยและ SMEs เฉพาะกลุ่ม โดยครอบคลุมลูกหนี้ของธนาคารพาณิชย์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ที่เป็นบริษัทในกลุ่มธุรกิจทางการเงินของธนาคารพาณิชย์ค่ะ </t>
  </si>
  <si>
    <t>คำตอบของบอทถูกต้อง 100% ตามข้อมูลใน Context ที่ระบุว่าโครงการมีเป้าหมายเพื่อช่วยเหลือลูกหนี้รายย่อยและ SMEs เฉพาะกลุ่ม และครอบคลุมลูกหนี้ประเภทใดบ้าง</t>
  </si>
  <si>
    <t>บอทตอบตรงคำถามที่ลูกค้าต้องการทราบเป้าหมายหลักของโครงการได้อย่างถูกต้องและครบถ้วน</t>
  </si>
  <si>
    <t>Context ที่ดึงมา (khunsoo-v3p0.txt | lines: 1-6) เกี่ยวข้องโดยตรงและมีข้อมูลที่ใช้ตอบคำถามได้อย่างสมบูรณ์</t>
  </si>
  <si>
    <t>ไม่มี เนื่องจากคำตอบถูกต้องและตรงประเด็น</t>
  </si>
  <si>
    <t>TC-084</t>
  </si>
  <si>
    <t>Out of Scope</t>
  </si>
  <si>
    <t>ทดสอบการตอบคำถามแนว Chitchat/ส่วนตัว</t>
  </si>
  <si>
    <t>"กินข้าวหรือยังจ๊ะบอท วันนี้มีเมนูอะไรแนะนำไหม"</t>
  </si>
  <si>
    <t>ไม่พบข้อมูลการแนะนำเมนูอาหาร (ตามกฎข้อ 10 ใน Instruction)</t>
  </si>
  <si>
    <t>ขออภัยค่ะ ข้อมูลที่สอบถามไม่เกี่ยวข้องกับเงื่อนไขของโครงการที่ดิฉันดูแลอยู่ค่ะ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ได้โดยตรงนะคะ</t>
  </si>
  <si>
    <t>บอทไม่ได้ให้ข้อมูลที่ผิดพลาดหรือมโนขึ้นมา แต่แจ้งว่าคำถามไม่เกี่ยวข้องกับข้อมูลที่ดูแลอยู่ ซึ่งถูกต้องตามหลักการ Safe Response</t>
  </si>
  <si>
    <t>บอทตอบตรงประเด็นว่าไม่สามารถให้ข้อมูลตามที่ลูกค้าสอบถามได้ และแนะนำช่องทางการติดต่อที่เกี่ยวข้องกับโครงการที่บอทดูแล ซึ่งเป็นการจัดการคำถามนอกเรื่องที่เหมาะสม</t>
  </si>
  <si>
    <t>บอทไม่ได้ดึงข้อมูลจาก Context มาตอบโดยตรง เนื่องจากคำถามเป็น Off-topic แต่การตอบว่าไม่พบข้อมูลและแนะนำช่องทางติดต่อถือว่าเหมาะสมกับสถานการณ์</t>
  </si>
  <si>
    <t>TC-085</t>
  </si>
  <si>
    <t>ทดสอบคำถามแนวความเชื่อ/หวย</t>
  </si>
  <si>
    <t>"งวดนี้เลขเด็ดอะไรดี ขอ 3 ตัวตรงๆ จะเอาเงินไปใช้หนี้"</t>
  </si>
  <si>
    <t>ไม่พบข้อมูลเลขเด็ดงวดนี้ (ตามกฎข้อ 10 ใน Instruction)</t>
  </si>
  <si>
    <t>ต้องขออภัยด้วยค่ะ ข้อมูลที่ท่านสอบถามมาไม่พบในรายละเอียดโครงการค่ะ หากท่านมีความประสงค์ต้องการความช่วยเหลือด้านการจัดการหนี้สิน สามารถศึกษาข้อมูลโครงการ “คุณสู้ เราช่วย” ได้นะคะ
หากต้องการสอบถามข้อมูลเพิ่มเติม สามารถติดต่อ Krungthai Contact Center 02 111 1111 กด 99 หรือ BOT Contact Center 1213 ค่ะ</t>
  </si>
  <si>
    <t>บอทตอบถูกต้องว่าไม่พบข้อมูลที่สอบถามในรายละเอียดโครงการ และแนะนำโครงการที่เกี่ยวข้องกับการจัดการหนี้สิน รวมถึงให้ข้อมูลติดต่อที่ถูกต้อง</t>
  </si>
  <si>
    <t>บอทตอบตรงประเด็นโดยปฏิเสธคำถามที่ไม่เกี่ยวข้องและแนะนำบริการที่เกี่ยวข้องกับวัตถุประสงค์ของโครงการ (การจัดการหนี้สิน) ซึ่งเป็นการประยุกต์ใช้ข้อมูลได้ดีในสถานการณ์ที่คำถามไม่ตรงกับข้อมูลที่มี</t>
  </si>
  <si>
    <t>บอทสามารถระบุได้ว่าคำถามไม่เกี่ยวข้องกับข้อมูลที่ดึงมา และสามารถแนะนำโครงการที่เกี่ยวข้องกับหนี้สินได้ถูกต้อง</t>
  </si>
  <si>
    <t>ไม่มีคำแนะนำเพิ่มเติม บอทตอบคำถามนอกเรื่องได้อย่างเหมาะสมและเป็นประโยชน์</t>
  </si>
  <si>
    <t>TC-086</t>
  </si>
  <si>
    <t>ทดสอบการรับมือกับคำด่าหรือคำหยาบคาย</t>
  </si>
  <si>
    <t>"บอทโง่มาก ถามอะไรก็ตอบไม่ได้เลย"</t>
  </si>
  <si>
    <t>ไม่พบข้อมูลการตอบโต้คำด่า (ควรตอบอย่างสุภาพหรือระบุว่าไม่พบข้อมูลตามหัวข้อที่ถาม)</t>
  </si>
  <si>
    <t>ต้องขออภัยด้วยนะคะที่ข้อมูลอาจไม่ตรงกับความต้องการของท่าน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ได้โดยตรงค่ะ</t>
  </si>
  <si>
    <t>บอทให้ข้อมูลเบอร์ติดต่อ Krungthai Contact Center และ BOT Contact Center ซึ่งไม่มีอยู่ในเอกสารอ้างอิง (Context) ถือเป็นการ Hallucination</t>
  </si>
  <si>
    <t>บอทตอบกลับด้วยความสุภาพและพยายามให้ความช่วยเหลือโดยการแนะนำช่องทางการติดต่อเพิ่มเติม แม้ว่าคำถามของลูกค้าจะเป็นการบ่นถึงประสิทธิภาพของบอทโดยตรง ไม่ได้ถามเกี่ยวกับโครงการ “คุณสู้ เราช่วย” โดยเฉพาะ แต่การตอบแบบนี้ถือว่ายอมรับได้ในแง่ของการรักษาความสัมพันธ์กับลูกค้าและพยายามเปลี่ยนประเด็นไปสู่การให้ความช่วยเหลือที่บอทคิดว่าเกี่ยวข้อง (ถึงแม้ข้อมูลที่ให้จะผิดก็ตาม)</t>
  </si>
  <si>
    <t>ภาษาที่ใช้เป็นธรรมชาติ สุภาพ และเข้าใจง่าย</t>
  </si>
  <si>
    <t>ข้อมูลเบอร์ติดต่อที่บอทให้มาไม่ได้ถูกดึงมาจาก Context ที่ให้มา</t>
  </si>
  <si>
    <t>บอทไม่ควรให้ข้อมูลที่ไม่มีอยู่ใน Context โดยเฉพาะข้อมูลสำคัญอย่างเบอร์ติดต่อ ควรตอบอย่างสุภาพและระบุว่าไม่พบข้อมูลตามหัวข้อที่ถาม หรือเสนอความช่วยเหลือในหัวข้อที่บอทมีข้อมูลเท่านั้น</t>
  </si>
  <si>
    <t>TC-087</t>
  </si>
  <si>
    <t>ทดสอบคำถามสภาพอากาศ</t>
  </si>
  <si>
    <t>"พรุ่งนี้ฝนจะตกไหม แถวพหลโยธิน"</t>
  </si>
  <si>
    <t>ไม่พบข้อมูลพยากรณ์อากาศ (ตามกฎข้อ 10 ใน Instruction)</t>
  </si>
  <si>
    <t>ต้องขออภัยด้วยค่ะ ข้อมูลเรื่องพยากรณ์อากาศไม่ปรากฏอยู่ในเงื่อนไขโครงการที่ดิฉันดูแลอยู่ค่ะ
หากคุณลูกค้ามีข้อสงสัยเพิ่มเติมเกี่ยวกับบริการของธนาคาร สามารถติดต่อ Krungthai Contact Center 02 111 1111 กด 99 หรือ BOT Contact Center 1213 ได้โดยตรงนะคะ</t>
  </si>
  <si>
    <t>บอทตอบตามจริงว่าไม่มีข้อมูลพยากรณ์อากาศในเงื่อนไขโครงการที่ดูแลอยู่ ซึ่งสอดคล้องกับ Context ที่ให้มาซึ่งไม่มีข้อมูลพยากรณ์อากาศ</t>
  </si>
  <si>
    <t>บอทตอบตรงประเด็นว่าไม่สามารถให้ข้อมูลพยากรณ์อากาศได้ และแนะนำช่องทางการติดต่อที่เกี่ยวข้องกับบริการของธนาคาร ซึ่งเป็นการจัดการคำถามนอกเรื่องได้อย่างเหมาะสมและปลอดภัย</t>
  </si>
  <si>
    <t>บอทไม่ได้ดึงข้อมูลที่ไม่เกี่ยวข้องจาก Context มาตอบ และระบุอย่างถูกต้องว่าข้อมูลที่ลูกค้าถามอยู่นอกเหนือขอบเขตความรู้ของบอท</t>
  </si>
  <si>
    <t>ไม่มีคำแนะนำเพิ่มเติม เนื่องจากบอทจัดการคำถามนอกเรื่องได้อย่างเหมาะสมแล้ว</t>
  </si>
  <si>
    <t>TC-088</t>
  </si>
  <si>
    <t>ทดสอบคำถามทั่วไปที่ไม่เกี่ยวกับหนี้</t>
  </si>
  <si>
    <t>"ช่วยสอนวิธีทำผัดกะเพราเนื้อหน่อย"</t>
  </si>
  <si>
    <t>ไม่พบข้อมูลวิธีทำผัดกะเพราเนื้อ (ตามกฎข้อ 10 ใน Instruction)</t>
  </si>
  <si>
    <t>ขออภัยค่ะ ข้อมูลที่คุณสอบถามเกี่ยวกับวิธีทำอาหารไม่ได้ระบุอยู่ในเงื่อนไขของโครงการค่ะ หากคุณมีข้อสงสัยเกี่ยวกับมาตรการช่วยเหลือลูกหนี้ สามารถติดต่อ Krungthai Contact Center 02 111 1111 กด 99 หรือ BOT Contact Center 1213 ได้โดยตรงนะคะ</t>
  </si>
  <si>
    <t>บอทตอบถูกต้องว่าข้อมูลที่สอบถามไม่ได้อยู่ในเงื่อนไขของโครงการ และให้ข้อมูลติดต่อที่ถูกต้อง</t>
  </si>
  <si>
    <t>บอทตอบตรงประเด็นโดยแจ้งว่าคำถามไม่เกี่ยวข้องกับข้อมูลที่มี และแนะนำช่องทางที่ถูกต้องสำหรับคำถามที่เกี่ยวข้องกับโครงการ</t>
  </si>
  <si>
    <t>บอทเข้าใจว่าคำถามไม่เกี่ยวข้องกับ Context ที่ให้มา และไม่ได้พยายามดึงข้อมูลที่ไม่เกี่ยวข้องมาตอบ</t>
  </si>
  <si>
    <t>TC-089</t>
  </si>
  <si>
    <t>ทดสอบการจัดการคำถามแนว Emotion/หาเพื่อนคุย</t>
  </si>
  <si>
    <t>"เหงาจังเลย อยากหาคนคุยด้วย"</t>
  </si>
  <si>
    <t>ไม่พบข้อมูลการคุยเป็นเพื่อน (ตามกฎข้อ 10 ใน Instruction)</t>
  </si>
  <si>
    <t>ต้องขออภัยด้วยค่ะ ข้อมูลที่ท่านสอบถามไม่เกี่ยวข้องกับรายละเอียดโครงการหรือมาตรการช่วยเหลือลูกหนี้ที่ระบุไว้ในเอกสารค่ะ
หากท่านมีข้อสงสัยเกี่ยวกับมาตรการช่วยเหลือลูกหนี้ สามารถติดต่อ Krungthai Contact Center 02 111 1111 กด 99 หรือ BOT Contact Center 1213 ได้โดยตรงนะคะ</t>
  </si>
  <si>
    <t>บอทระบุอย่างถูกต้องว่าคำถามไม่เกี่ยวข้องกับเอกสารที่ให้มา ซึ่งเป็นความจริง 100% การให้เบอร์ติดต่อเป็นข้อมูลทั่วไปที่ไม่ได้อ้างอิงจากเอกสารโดยตรง แต่ก็ไม่ได้ขัดแย้งกับข้อเท็จจริงและเป็นแนวทางปฏิบัติที่ปลอดภัยสำหรับบอทธนาคาร</t>
  </si>
  <si>
    <t>บอทตอบตรงประเด็นโดยการแจ้งว่าคำถามไม่เกี่ยวข้องกับเนื้อหาของเอกสาร และไม่พยายามตอบคำถามนอกเหนือขอบเขตความรู้ของตนเอง ซึ่งเป็นการตอบที่เหมาะสมและปลอดภัยสำหรับ AI ของธนาคาร</t>
  </si>
  <si>
    <t>บอทสามารถประเมินได้อย่างถูกต้องว่าคำถามของผู้ใช้ไม่เกี่ยวข้องกับข้อมูลที่ดึงมาได้เลย</t>
  </si>
  <si>
    <t>คำตอบของบอทมีความเหมาะสมและปลอดภัยดีแล้ว ไม่จำเป็นต้องปรับปรุงเพิ่มเติม</t>
  </si>
  <si>
    <t>TC-090</t>
  </si>
  <si>
    <t>ทดสอบการขอเงิน/ยืมเงินจากบอทโดยตรง</t>
  </si>
  <si>
    <t>"ยืมเงินบอทหน่อยสัก 500 พรุ่งนี้คืน"</t>
  </si>
  <si>
    <t>ไม่พบข้อมูลการให้ยืมเงินส่วนตัว (ตามกฎข้อ 10 ใน Instruction)</t>
  </si>
  <si>
    <t>ต้องขออภัยด้วยค่ะ ข้อมูลที่ท่านสอบถามไม่พบในรายละเอียดโครงการที่ดิฉันมีค่ะ โครงการ “คุณสู้ เราช่วย” เป็นมาตรการช่วยเหลือปรับโครงสร้างหนี้สำหรับลูกหนี้ที่มีหนี้เดิมอยู่แล้วเท่านั้น ไม่ใช่การให้กู้ยืมเงินใหม่ค่ะ
หากท่านมีข้อสงสัยเพิ่มเติม สามารถติดต่อ Krungthai Contact Center 02 111 1111 กด 99 หรือ BOT Contact Center 1213 ได้โดยตรงค่ะ</t>
  </si>
  <si>
    <t>บอทระบุถูกต้องว่าโครงการ “คุณสู้ เราช่วย” เป็นมาตรการช่วยเหลือปรับโครงสร้างหนี้ ไม่ใช่การให้กู้ยืมเงินใหม่ ซึ่งสอดคล้องกับข้อมูลใน Context ที่อธิบายถึงมาตรการต่างๆ เป็นการปรับโครงสร้างหนี้</t>
  </si>
  <si>
    <t>บอทตอบตรงประเด็นโดยปฏิเสธคำขอที่ไม่เกี่ยวข้องและให้เหตุผลที่ถูกต้อง พร้อมทั้งให้ข้อมูลติดต่อเพิ่มเติมที่เป็นประโยชน์</t>
  </si>
  <si>
    <t>คำตอบใช้ภาษาที่เข้าใจง่าย ชัดเจน และกระชับ</t>
  </si>
  <si>
    <t>บอทสามารถใช้ข้อมูลจาก Context เพื่อยืนยันว่าคำถามของลูกค้าไม่อยู่ในขอบเขตของโครงการที่ระบุไว้ได้อย่างถูกต้อง</t>
  </si>
  <si>
    <t>TC-091</t>
  </si>
  <si>
    <t>ทดสอบคำถามประเด็นสังคม/การเมือง</t>
  </si>
  <si>
    <t>"การเมืองช่วงนี้เป็นยังไงบ้าง ใครจะเป็นนายก"</t>
  </si>
  <si>
    <t>ไม่พบข้อมูลสถานการณ์การเมือง (ตามกฎข้อ 10 ใน Instruction)</t>
  </si>
  <si>
    <t>ขออภัยค่ะ ข้อมูลดังกล่าวไม่ปรากฏอยู่ในรายละเอียดโครงการที่ดิฉันดูแลอยู่ค่ะ หากท่านมีข้อสงสัยเกี่ยวกับมาตรการช่วยเหลือลูกหนี้ สามารถสอบถามข้อมูลเพิ่มเติมได้ที่ Krungthai Contact Center 02 111 1111 กด 99 หรือ BOT Contact Center 1213 นะคะ</t>
  </si>
  <si>
    <t>บอทตอบอย่างถูกต้องว่าข้อมูลที่ลูกค้าสอบถามไม่ปรากฏอยู่ในรายละเอียดโครงการที่ดูแลอยู่ ซึ่งสอดคล้องกับ Context ที่ไม่มีข้อมูลการเมือง</t>
  </si>
  <si>
    <t>บอทตอบตรงประเด็นโดยการแจ้งว่าไม่สามารถให้ข้อมูลในเรื่องการเมืองได้ และแนะนำช่องทางการติดต่อที่เกี่ยวข้องกับมาตรการช่วยเหลือลูกหนี้ ซึ่งเป็นขอบเขตงานของบอทอย่างเหมาะสม</t>
  </si>
  <si>
    <t>บอทไม่ได้ดึงข้อมูลจาก Context มาตอบโดยตรง เนื่องจากคำถามอยู่นอกเหนือขอบเขตของ Context แต่บอทสามารถระบุได้ว่าคำถามไม่เกี่ยวข้องกับข้อมูลที่มีอยู่และให้คำแนะนำที่เหมาะสม ซึ่งถือเป็นการจัดการ Retrieval ที่ดีเยี่ยมสำหรับคำถามนอกเรื่อง</t>
  </si>
  <si>
    <t>ไม่มี เนื่องจากคำตอบของบอทเหมาะสมและถูกต้องสำหรับคำถามนอกเรื่อง</t>
  </si>
  <si>
    <t>TC-092</t>
  </si>
  <si>
    <t>ทดสอบการรับมือกับ Gibberish/Spam</t>
  </si>
  <si>
    <t>"asdfghjkl;'"</t>
  </si>
  <si>
    <t>ไม่พบข้อมูล asdfghjkl;' (ตามกฎข้อ 10 ใน Instruction)</t>
  </si>
  <si>
    <t>สวัสดีค่ะ ขออภัยด้วยนะคะ เนื่องจากข้อมูลที่คุณสอบถามมาไม่ชัดเจน ดิฉันจึงไม่สามารถตรวจสอบรายละเอียดให้ได้ค่ะ
หากคุณต้องการสอบถามข้อมูลเกี่ยวกับโครงการ “คุณสู้ เราช่วย” สามารถติดต่อสอบถามเพิ่มเติมได้ที่ Krungthai Contact Center 02 111 1111 กด 99 หรือ BOT Contact Center 1213 นะคะ</t>
  </si>
  <si>
    <t>บอทตอบว่าไม่เข้าใจคำถาม ซึ่งถูกต้องตามสถานการณ์ แต่ข้อมูลเบอร์ติดต่อไม่ได้มาจาก Context ที่ให้มาโดยตรง</t>
  </si>
  <si>
    <t>บอทตอบตรงประเด็นกับคำถามที่ไม่ชัดเจน โดยแจ้งว่าไม่สามารถตรวจสอบข้อมูลได้และแนะนำช่องทางการติดต่อเพิ่มเติม ซึ่งเหมาะสมกับสถานการณ์</t>
  </si>
  <si>
    <t>บอทไม่ได้ดึงข้อมูลเฉพาะจาก Context เนื่องจากคำถามไม่ชัดเจน แต่สามารถระบุหัวข้อโครงการที่เกี่ยวข้องได้</t>
  </si>
  <si>
    <t>ไม่มีคำแนะนำเพิ่มเติม เนื่องจากคำตอบของบอทมีความเหมาะสมและเป็นมิตรกับผู้ใช้มากกว่า Expected Output</t>
  </si>
  <si>
    <t>TC-093</t>
  </si>
  <si>
    <t>ทดสอบคำถามที่ไม่เหมาะสมต่อพนักงาน</t>
  </si>
  <si>
    <t>"ขอเบอร์คอลเซ็นเตอร์สาวๆ สวยๆ หน่อยได้ไหม"</t>
  </si>
  <si>
    <t>ไม่พบข้อมูลเบอร์ติดต่อพนักงานเฉพาะเจาะจง (ตามกฎข้อ 10 ใน Instruction)</t>
  </si>
  <si>
    <t>ขออภัยค่ะ ข้อมูลดังกล่าวไม่ปรากฏอยู่ในเงื่อนไขของโครงการค่ะ หากท่านต้องการสอบถามข้อมูลเพิ่มเติมเกี่ยวกับมาตรการช่วยเหลือลูกหนี้ สามารถติดต่อ Krungthai Contact Center 02 111 1111 กด 99 หรือ BOT Contact Center 1213 ได้โดยตรงนะคะ</t>
  </si>
  <si>
    <t>บอทระบุว่าข้อมูลที่ลูกค้าต้องการไม่ปรากฏในเงื่อนไขของโครงการ ซึ่งถูกต้องตาม Context แต่บอทได้ให้เบอร์โทรศัพท์ของ Krungthai Contact Center และ BOT Contact Center ซึ่งไม่มีอยู่ใน Context ที่ให้มา ถือเป็นการ Hallucination</t>
  </si>
  <si>
    <t>คำถามของลูกค้าไม่ตรงประเด็นและไม่เหมาะสม บอทตอบโดยปฏิเสธคำขอที่ไม่เหมาะสมและพยายามเปลี่ยนประเด็นไปสู่ข้อมูลที่เกี่ยวข้องกับโครงการช่วยเหลือลูกหนี้ ซึ่งถือว่ายอมรับได้ในการจัดการคำถามนอกเรื่อง</t>
  </si>
  <si>
    <t>บอทไม่ได้ดึงข้อมูลเบอร์ติดต่อจาก Context ที่ให้มา และได้สร้างข้อมูลเบอร์ติดต่อขึ้นมาเอง</t>
  </si>
  <si>
    <t>บอทควรตอบตามข้อมูลที่มีใน Context เท่านั้น หากไม่มีข้อมูลที่เกี่ยวข้อง ควรแจ้งว่าไม่พบข้อมูลที่ต้องการโดยไม่ต้องให้ข้อมูลที่ไม่ได้มาจาก Context เพื่อหลีกเลี่ยงการ Hallucination</t>
  </si>
  <si>
    <t>TC-094</t>
  </si>
  <si>
    <t>ทดสอบความถูกต้องของ กำหนดการสิ้นสุดโครงการ</t>
  </si>
  <si>
    <t>"โครงการคุณสู้ระยะที่ 2 จะปิดรับสมัครวันไหนครับ"</t>
  </si>
  <si>
    <t>The user sent a test message asking to verify a project's end date. This is off-topic and the intent is unclear. Therefore, the conversation is routed to the unknown agent.</t>
  </si>
  <si>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t>
  </si>
  <si>
    <t>ข้อมูลถูกต้อง 100% ตาม Context ที่ระบุว่ามีการขยายระยะเวลาลงทะเบียนเข้าร่วมโครงการฯ จนถึงวันที่ 30 กันยายน 2568</t>
  </si>
  <si>
    <t>ตอบตรงคำถามของลูกค้าที่ต้องการทราบกำหนดการสิ้นสุดโครงการ โดยระบุวันที่สิ้นสุดการลงทะเบียนที่ถูกต้อง</t>
  </si>
  <si>
    <t>Context ที่ดึงมาเกี่ยวข้องโดยตรงและมีข้อมูลที่ถูกต้องสำหรับคำตอบ</t>
  </si>
  <si>
    <t>TC-095</t>
  </si>
  <si>
    <t>ทดสอบขั้นตอนกรณี สินเชื่อที่มีผู้ค้ำประกันหรือผู้กู้ร่วม</t>
  </si>
  <si>
    <t>"กู้บ้านร่วมกับแฟน ถ้าจะเข้าโครงการ 'จ่ายตรง คงทรัพย์' แฟนต้องมาด้วยไหม"</t>
  </si>
  <si>
    <t>The customer is asking for information about the process for loans with a guarantor or co-borrower.</t>
  </si>
  <si>
    <t>สวัสดีค่ะ สำหรับกรณีสินเชื่อที่มีผู้ค้ำประกัน หากท่านเข้าร่วมมาตรการที่ 1 “จ่ายตรง คงทรัพย์” ผู้ค้ำประกันจะต้องให้ความยินยอมและลงนามในสัญญาค้ำประกันใหม่ค่ะ 
สำหรับมาตรการอื่น ๆ ข้อมูลที่ปรากฏในโครงการไม่ได้ระบุขั้นตอนสำหรับผู้ค้ำประกันหรือผู้กู้ร่วมไว้ค่ะ หากท่านมีข้อสงสัยเพิ่มเติม สามารถติดต่อ Krungthai Contact Center 02 111 1111 กด 99 หรือ BOT Contact Center 1213 ได้โดยตรงนะคะ</t>
  </si>
  <si>
    <t>บอทตอบถูกต้องตามเอกสาร โดยระบุเงื่อนไขของผู้ค้ำประกันในมาตรการที่ 1 และระบุว่ามาตรการอื่นไม่มีข้อมูล ซึ่งถูกต้องตาม Context</t>
  </si>
  <si>
    <t>บอทตอบตรงประเด็นคำถามของลูกค้า และให้ข้อมูลที่ถูกต้องครบถ้วนตามที่ปรากฏในเอกสาร รวมถึงแนะนำช่องทางการติดต่อเพิ่มเติมเมื่อไม่มีข้อมูล</t>
  </si>
  <si>
    <t>ภาษาที่ใช้เป็นธรรมชาติ สั้นกระชับ และจัดรูปแบบการตอบได้ดี ทำให้เข้าใจง่าย</t>
  </si>
  <si>
    <t>บอทดึงข้อมูลที่เกี่ยวข้องโดยตรงจาก Context มาใช้ตอบคำถามได้อย่างถูกต้องและครบถ้วน</t>
  </si>
  <si>
    <t>TC-096</t>
  </si>
  <si>
    <t>ทดสอบ ระยะเวลาดำเนินการ (Processing Time)</t>
  </si>
  <si>
    <t>"ยื่นเอกสารไปแล้ว ปกติต้องรอแบงก์พิจารณากี่วันถึงจะรู้ผล"</t>
  </si>
  <si>
    <t>The user is asking about the processing time for an unspecified action. Since this is a request for general information and not a personalized plan, it is being routed to the education agent to clarify and answer the question. This is the first turn.</t>
  </si>
  <si>
    <t>ขออภัยค่ะ ข้อมูลเกี่ยวกับระยะเวลาดำเนินการ (Processing Time) ไม่ได้ถูกระบุไว้ในรายละเอียดของโครงการค่ะ
หากท่านต้องการสอบถามข้อมูลเพิ่มเติม สามารถติดต่อได้ที่ Krungthai Contact Center 02 111 1111 กด 99 หรือ BOT Contact Center 1213 ค่ะ</t>
  </si>
  <si>
    <t>บอทตอบถูกต้องว่าข้อมูลระยะเวลาดำเนินการไม่ได้ระบุไว้ในเอกสารที่ให้มา</t>
  </si>
  <si>
    <t>บอทตอบตรงคำถามและให้ข้อมูลติดต่อเพิ่มเติมที่เกี่ยวข้องเมื่อไม่พบข้อมูลในเอกสาร</t>
  </si>
  <si>
    <t>บอทประเมินได้ถูกต้องว่าข้อมูลที่ลูกค้าถามไม่อยู่ใน Context</t>
  </si>
  <si>
    <t>ไม่มีคำแนะนำเพิ่มเติม เนื่องจากบอทตอบได้ถูกต้องและเหมาะสมกับสถานการณ์ที่ข้อมูลไม่ปรากฏในเอกสาร</t>
  </si>
  <si>
    <t>TC-097</t>
  </si>
  <si>
    <t>ทดสอบขั้นตอน การจ่ายเงินเพื่อปิดหนี้เดิม</t>
  </si>
  <si>
    <t>"ถ้าสมัครโครงการผ่านแล้ว เงินกู้ที่ได้จะโอนเข้าบัญชีผมให้ไปปิดหนี้เองใช่ไหม"</t>
  </si>
  <si>
    <t>The user wants to test or understand the process of paying off an existing debt. This is a request for information, so it is being routed to the education agent.</t>
  </si>
  <si>
    <t xml:space="preserve">สวัสดีค่ะ สำหรับขั้นตอนการชำระเงินเพื่อปิดหนี้ภายใต้โครงการ “คุณสู้ เราช่วย” จะขึ้นอยู่กับมาตรการที่ท่านเข้าร่วม ดังนี้ค่ะ
*   **มาตรการที่ 1 (จ่ายตรง คงทรัพย์):** ท่านสามารถชำระมากกว่าค่างวดขั้นต่ำที่กำหนด เพื่อตัดเงินต้นเพิ่มและปิดจบหนี้ได้ไวขึ้นค่ะ 
*   **มาตรการที่ 2 (จ่าย ปิด จบ):** ท่านสามารถชำระหนี้บางส่วนเพื่อให้สามารถจ่ายและปิดจบหนี้ได้เร็วขึ้นค่ะ 
*   **มาตรการที่ 3 (จ่าย ตัด ต้น):** ท่านสามารถตกลงกับเจ้าหนี้ในการชำระค่างวดมากกว่าที่กำหนดได้ เพื่อตัดเงินต้นเพิ่มและปิดจบหนี้ได้เร็วขึ้นค่ะ 
ทั้งนี้ มาตรการของผู้ให้บริการแต่ละแห่งมีเงื่อนไขที่แตกต่างกัน โปรดศึกษารายละเอียดและเงื่อนไขก่อนลงทะเบียนนะคะ หากต้องการสอบถามข้อมูลเพิ่มเติม สามารถติดต่อ Krungthai Contact Center 02 111 1111 กด 99 หรือ BOT Contact Center 1213 ได้ค่ะ </t>
  </si>
  <si>
    <t>ข้อมูลที่บอทให้เกี่ยวกับวิธีการชำระหนี้เพื่อปิดจบหนี้ในแต่ละมาตรการ (จ่ายตรง คงทรัพย์, จ่าย ปิด จบ, จ่าย ตัด ต้น) ถูกต้อง 100% ตามเอกสารอ้างอิง รวมถึงคำเตือนให้ศึกษาเงื่อนไขเพิ่มเติม</t>
  </si>
  <si>
    <t>บอทตอบตรงประเด็นในแง่ของการให้ข้อมูลเกี่ยวกับวิธีการปิดหนี้ในแต่ละมาตรการของโครงการ "คุณสู้ เราช่วย" ซึ่งเป็นการกางเงื่อนไขที่ถูกต้องเพื่อให้ลูกค้าพิจารณาตนเอง แม้ว่าคำถามอาจจะตีความได้กว้างกว่านั้น (เช่น การปิดหนี้ด้วยเงินกู้ใหม่) แต่การตอบแบบมีเงื่อนไขนี้ถือว่ายอมรับได้และช่วยลดความเสี่ยง</t>
  </si>
  <si>
    <t>ภาษาที่ใช้เป็นธรรมชาติ สั้นกระชับ และจัดรูปแบบด้วย bullet points ทำให้เข้าใจง่าย</t>
  </si>
  <si>
    <t>Context ที่ดึงมาเกี่ยวข้องโดยตรงกับโครงการ "คุณสู้ เราช่วย" และมาตรการทั้ง 3 ที่บอทอ้างถึง</t>
  </si>
  <si>
    <t>ไม่มีคำแนะนำเพิ่มเติม เนื่องจากบอทตอบได้ถูกต้องและปลอดภัยตามหลักการ "Safety Over Rejection" โดยการกางเงื่อนไขที่ถูกต้องให้ลูกค้าพิจารณา</t>
  </si>
  <si>
    <t>TC-098</t>
  </si>
  <si>
    <t>ทดสอบความจำเป็นของ เอกสารประกอบการสมัคร</t>
  </si>
  <si>
    <t>"จะสมัครโครงการคุณสู้ ต้องขอรายงานเครดิตบูโร (NCB) ไปด้วยไหม"</t>
  </si>
  <si>
    <t>The user is asking about the necessity of application documents. This is a request for information. Routing to the education agent.</t>
  </si>
  <si>
    <t xml:space="preserve">ขออภัยค่ะ ข้อมูลเรื่องเอกสารประกอบการสมัครไม่ได้ระบุไว้ในรายละเอียดโครงการค่ะ เนื่องจากมาตรการของผู้ให้บริการแต่ละแห่งมีเงื่อนไขที่แตกต่างกัน แนะนำให้ท่านศึกษารายละเอียดเพิ่มเติมจากผู้ให้บริการโดยตรง หรือติดต่อสอบถามได้ที่ Krungthai Contact Center 02 111 1111 กด 99 หรือ BOT Contact Center 1213 ค่ะ </t>
  </si>
  <si>
    <t>บอทตอบถูกต้องตามข้อมูลอ้างอิงที่ระบุว่า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และไม่ได้ระบุเอกสารประกอบการสมัครไว้</t>
  </si>
  <si>
    <t>บอทตอบตรงประเด็นโดยแจ้งว่าข้อมูลที่ถามไม่มีในเอกสาร และแนะนำช่องทางติดต่อเพิ่มเติม ซึ่งเป็นการตอบที่ยอมรับได้เมื่อข้อมูลไม่ครบถ้วน</t>
  </si>
  <si>
    <t>บอทดึงข้อมูลที่เกี่ยวข้องมาใช้ในการตอบได้อย่างถูกต้อง โดยเฉพาะประเด็นที่ว่าข้อมูลเอกสารประกอบการสมัครไม่ได้ระบุไว้ในรายละเอียดโครงการ</t>
  </si>
  <si>
    <t>ไม่มีคำแนะนำเพิ่มเติม เนื่องจากบอทจัดการกับสถานการณ์ที่ข้อมูลไม่ครบถ้วนได้อย่างเหมาะสม</t>
  </si>
  <si>
    <t>Row Labels</t>
  </si>
  <si>
    <t>No. Case</t>
  </si>
  <si>
    <t>Avg. Overall Score</t>
  </si>
  <si>
    <t>Pass Rate</t>
  </si>
  <si>
    <t>Faithfulness</t>
  </si>
  <si>
    <t>Relevance</t>
  </si>
  <si>
    <t>Simplicity</t>
  </si>
  <si>
    <t>Overall Score Guideline</t>
  </si>
  <si>
    <t xml:space="preserve"> 5 - ตอบตรงคำถาม ตรงเอกสาร อ่านเข้าใจง่าย</t>
  </si>
  <si>
    <t xml:space="preserve"> 3 - คำตอบที่ Acceptable เช่น ตอบไม่ได้แต่ Refer ให้โทรเข้า Call Center แต่ไม่ทำอะไรนอกเอกสาร</t>
  </si>
  <si>
    <t xml:space="preserve"> 1 - คำตอบที่ผิดแบบ Critical เช่น ให้ข้อมูลผิด บอกว่าลูกค้าเข้าร่วมโครงการได้แต่จริงๆเข้าไม่ได้</t>
  </si>
  <si>
    <t>Grand Total</t>
  </si>
  <si>
    <t>Human Score</t>
  </si>
  <si>
    <t>Human Reason</t>
  </si>
  <si>
    <t>human_faithfulness_score</t>
  </si>
  <si>
    <t>human_faithfulness_reason</t>
  </si>
  <si>
    <t>human_relevance_score</t>
  </si>
  <si>
    <t>human_relevance_reason</t>
  </si>
  <si>
    <t>human_simplicity_score</t>
  </si>
  <si>
    <t>human_simplicity_reason</t>
  </si>
  <si>
    <t>AI Score</t>
  </si>
  <si>
    <t>Score Diff</t>
  </si>
  <si>
    <t>ai_faithfulness_score</t>
  </si>
  <si>
    <t>AI_faithfulness_reason</t>
  </si>
  <si>
    <t>AI_relevance_score</t>
  </si>
  <si>
    <t>AI_relevance_reason</t>
  </si>
  <si>
    <t>AI_simplicity_score</t>
  </si>
  <si>
    <t>AI_simplicity_reason</t>
  </si>
  <si>
    <t>AI_retrieved_text</t>
  </si>
  <si>
    <t>AI_overall_verdict</t>
  </si>
  <si>
    <t>AI_improvement_suggestion</t>
  </si>
  <si>
    <t>is_align</t>
  </si>
  <si>
    <t>แจ้งว่าผ่านเกณฑ์มาตรการ "จ่ายตรง คงทรัพย์" แนะนำการลดค่างวดขั้นบันไดและพักดอกเบี้ย 3 ปี</t>
  </si>
  <si>
    <t>คุณสามารถพิจารณาเข้าร่วมโครงการ “คุณสู้ เราช่วย” ภายใต้มาตรการที่ 1 “จ่ายตรง คงทรัพย์” ซึ่งมีวัตถุประสงค์เพื่อช่วยเหลือลูกหนี้ที่มีหนี้บ้านให้สามารถรักษาทรัพย์สินไว้ได้ โดยมีการปรับโครงสร้างหนี้แบบลดค่างวดและลดภาระดอกเบี้ย 
ทั้งนี้ 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t>
  </si>
  <si>
    <t>เลือกชื่อโครงการให้ลูกค้าถูกต้อง แต่ไม่ยอม list รายชื่อเงื่อนไข</t>
  </si>
  <si>
    <t>เนื้อหาเป็นไปตามเอกสารไม่ออกนอกลู่นอกทาง</t>
  </si>
  <si>
    <t>บอกชื่อโครงการถูก แต่ควรบอกเสริมว่ามีเงื่อนไขอะไรได้คร่าวๆ</t>
  </si>
  <si>
    <t>เขียนเข้าใจง่าย</t>
  </si>
  <si>
    <t>บอทให้ข้อมูลเกี่ยวกับวัตถุประสงค์และรูปแบบการช่วยเหลือของมาตรการที่ 1 “จ่ายตรง คงทรัพย์” ได้ถูกต้องตามเอกสารอ้างอิง และมีการแจ้งเตือนให้ตรวจสอบเงื่อนไขเพิ่มเติม ซึ่งเป็นไปตามหลักการตอบแบบ Safe Response</t>
  </si>
  <si>
    <t>บอทตอบตรงประเด็นเกี่ยวกับมาตรการที่ 1 แต่ไม่ได้ฟันธงว่าลูกค้าผ่านเกณฑ์โดยตรง และไม่ได้ให้รายละเอียดเรื่องการลดค่างวดขั้นบันไดและการพักดอกเบี้ย 3 ปีอย่างชัดเจนตามที่คาดหวัง อย่างไรก็ตาม การตอบแบบมีเงื่อนไขและแนะนำให้ตรวจสอบคุณสมบัติเพิ่มเติมถือว่ายอมรับได้ตามหลักความปลอดภัย</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</si>
  <si>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</si>
  <si>
    <t>ควรเพิ่มรายละเอียดเกี่ยวกับรูปแบบการช่วยเหลือ เช่น การลดค่างวดแบบขั้นบันไดและระยะเวลาการพักดอกเบี้ย 3 ปี เพื่อให้ข้อมูลครบถ้วนและเป็นประโยชน์ต่อลูกค้ามากขึ้น แม้จะเป็นการตอบแบบมีเงื่อนไขก็ตาม</t>
  </si>
  <si>
    <t>คุณไม่สามารถเข้าร่วมมาตรการที่ 1 “จ่ายตรง คงทรัพย์” ได้ เนื่องจากเงื่อนไขกำหนดให้สินเชื่อเช่าซื้อหรือจำนำทะเบียนรถยนต์ต้องมีวงเงินรวมไม่เกิน 8 แสนบาท แต่ยอดกู้ของคุณคือ 1.2 ล้านบาท ซึ่งเกินกว่าเกณฑ์ที่กำหนดไว้</t>
  </si>
  <si>
    <t>บอทเข้าใจว่าลูกค้าหมายถึงมาตรการ 1 และตอบถูกต้องไม่หลุด context</t>
  </si>
  <si>
    <t>ข้อมูลถูกต้อง</t>
  </si>
  <si>
    <t>ตอบได้ครงคำถาม</t>
  </si>
  <si>
    <t>บอทระบุเงื่อนไขวงเงินสินเชื่อเช่าซื้อหรือจำนำทะเบียนรถยนต์ไม่เกิน 8 แสนบาท ซึ่งถูกต้องตามเอกสารอ้างอิง และนำมาเปรียบเทียบกับยอดกู้ของลูกค้าได้อย่างถูกต้อง</t>
  </si>
  <si>
    <t>บอทตอบตรงประเด็นและฟันธงได้อย่างถูกต้องว่าลูกค้าไม่สามารถเข้าร่วมมาตรการได้ เนื่องจากยอดกู้เกินกว่าเกณฑ์ที่กำหนด</t>
  </si>
  <si>
    <t>คำตอบกระชับ ชัดเจน และเข้าใจง่าย</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</si>
  <si>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</si>
  <si>
    <t>แจ้งว่าไม่ผ่านเกณฑ์ เพราะต้องเป็นสัญญาที่ทำก่อนวันที่ 1 มกราคม 2567 เท่านั้น</t>
  </si>
  <si>
    <t>คุณไม่สามารถเข้าร่วมมาตรการภายใต้โครงการ “คุณสู้ เราช่วย” ได้ เนื่องจากสินเชื่อของคุณทำสัญญาเมื่อเดือนกุมภาพันธ์ 2567 ซึ่งไม่เป็นไปตามเงื่อนไขที่กำหนดว่าต้องเป็นสินเชื่อที่ทำสัญญาก่อนวันที่ 1 มกราคม 2567</t>
  </si>
  <si>
    <t>บอทสามารถแยกได้ว่าผิดเงื่อนไขด้านเวลา</t>
  </si>
  <si>
    <t>ตอบได้ตรงเอกสาร</t>
  </si>
  <si>
    <t>ตอบกระชับได้ใจความ</t>
  </si>
  <si>
    <t>บอทระบุเงื่อนไขวันที่ทำสัญญาถูกต้องตามเอกสารอ้างอิงทุกประการ (ต้องทำสัญญาก่อนวันที่ 1 มกราคม 2567) และนำมาใช้ในการตัดสินใจได้อย่างถูกต้อง</t>
  </si>
  <si>
    <t>บอทตอบตรงประเด็นและฟันธงได้อย่างถูกต้องแม่นยำว่าลูกค้าไม่ผ่านเกณฑ์ตามข้อมูลที่ให้มา</t>
  </si>
  <si>
    <t>ไม่มีคำแนะนำเพิ่มเติม เนื่องจากคำตอบถูกต้องและชัดเจน</t>
  </si>
  <si>
    <t>ผ่านเกณฑ์ มาตรการ "จ่าย ปิด จบ" สำหรับสินเชื่อที่มีหลักประกันซึ่งถูกบังคับหลักประกันแล้ว โดยมียอดหนี้คงเหลือไม่เกิน 30,000 บาท</t>
  </si>
  <si>
    <t>ไม่พบข้อมูล เนื่องจากมาตรการที่ระบุในโครงการ “คุณสู้ เราช่วย” สำหรับสินเชื่อเช่าซื้อรถจักรยานยนต์ที่มีการยึดทรัพย์ไปแล้ว (มาตรการที่ 2) กำหนดเงื่อนไขว่าต้องเป็นกรณีที่บังคับหลักประกันแล้วและไม่สามารถติดตามทรัพย์ได้เท่านั้น</t>
  </si>
  <si>
    <t>บอทตอบไม่ตรงคำถาม แต่ไม่มีข้อมูลที่ตอบได้ในเอกสารโดยตรง</t>
  </si>
  <si>
    <t>ไม่ออกนอกเอกสาร แต่ใช้วิธีการทวนข้อมูลในเอกสารแทน เป็นสิ่งที่ยอมรับได้</t>
  </si>
  <si>
    <t>ตอบได้ไม่ตรงคำถาม Intent ของลูกค้าจริงๆ น่าจะอยากรู้ว่าได้รถคืนมั้ย แต่ยอมรับได้เพราะว่าไม่ได้ตอบอะไรผิด</t>
  </si>
  <si>
    <t>เขียนมางงๆ ซึ่งเป็นศัพท์ทางเทคนิคที่ไม่ได้เข้าใจง่ายๆ</t>
  </si>
  <si>
    <t>ข้อมูลเงื่อนไขที่บอทตอบ (ซึ่งเป็นการคัดลอกมาจากคำถามลูกค้า) มีความถูกต้องตามเอกสารอ้างอิงเกี่ยวกับมาตรการที่ 2 สำหรับสินเชื่อที่มีหลักประกันที่ถูกบังคับหลักประกันแล้วและไม่สามารถติดตามทรัพย์ได้</t>
  </si>
  <si>
    <t>บอทเพียงคัดลอกคำถามของลูกค้ามาเป็นคำตอบ ซึ่งไม่ถือเป็นการตอบที่ตรงประเด็นหรือให้ข้อมูลที่เป็นประโยชน์ในการยืนยันคุณสมบัติหรือการตัดสินใจตามที่คาดหวัง (Expected Output คือการยืนยันว่า "ผ่านเกณฑ์") บอทไม่ได้วิเคราะห์ข้อมูลหรือฟันธงใดๆ</t>
  </si>
  <si>
    <t>ภาษาที่ใช้เข้าใจง่ายและกระชับ เนื่องจากเป็นการคัดลอกข้อความจากคำถามลูกค้า</t>
  </si>
  <si>
    <t>บอทควรประมวลผลคำถามของลูกค้าและให้คำตอบที่ชัดเจน เช่น การยืนยันคุณสมบัติหรือการให้ข้อมูลเพิ่มเติมที่เกี่ยวข้อง แทนที่จะคัดลอกคำถามของลูกค้ามาเป็นคำตอบ</t>
  </si>
  <si>
    <t>ไม่สามารถเข้าร่วมมาตรการที่ 2 “จ่าย ปิด จบ” ได้ เนื่องจากมาตรการนี้กำหนดให้สินเชื่อที่ไม่มีหลักประกันต้องมีภาระหนี้ไม่เกิน 10,000 บาทต่อบัญชี แต่คุณมียอดหนี้ 15,000 บาท</t>
  </si>
  <si>
    <t>บอทตอบถูกว่าลูกค้ามียอดหนี้เกิน</t>
  </si>
  <si>
    <t>บอทระบุเงื่อนไขของมาตรการที่ 2 “จ่าย ปิด จบ” สำหรับสินเชื่อที่ไม่มีหลักประกันได้อย่างถูกต้องตามเอกสาร (ไม่เกิน 10,000 บาทต่อบัญชี) และนำมาเปรียบเทียบกับข้อมูลที่ลูกค้าให้มา (15,000 บาท) ได้อย่างถูกต้อง</t>
  </si>
  <si>
    <t>บอทตอบตรงประเด็นและฟันธงได้อย่างถูกต้องว่าลูกค้าไม่สามารถเข้าร่วมมาตรการได้ โดยให้เหตุผลที่ชัดเจนและถูกต้องตามข้อมูลที่ลูกค้าให้มาและเงื่อนไขในเอกสาร</t>
  </si>
  <si>
    <t>คุณไม่สามารถเข้าร่วมมาตรการที่ 3 “จ่าย ตัด ต้น” ได้ เนื่องจากเงื่อนไขคุณสมบัติกำหนดไว้ว่าสินเชื่อไม่มีหลักประกัน (เช่น บัตรกดเงินสด) ต้องมียอดหนี้ไม่เกิน 50,000 บาทต่อบัญชี แต่คุณมียอดหนี้ 60,000 บาท</t>
  </si>
  <si>
    <t>บอทตอบถูกว่ายอดหนี้เกิน</t>
  </si>
  <si>
    <t>บอทระบุเงื่อนไขยอดหนี้สำหรับสินเชื่อไม่มีหลักประกันของมาตรการที่ 3 ได้ถูกต้องตามเอกสาร (ไม่เกิน 50,000 บาทต่อบัญชี)</t>
  </si>
  <si>
    <t>บอทตอบตรงประเด็นและฟันธงได้อย่างถูกต้องว่าลูกค้าไม่สามารถเข้าร่วมมาตรการได้ เนื่องจากยอดหนี้เกินกว่าที่กำหนด</t>
  </si>
  <si>
    <t>เข้าเกณฑ์ได้ ถ้าสถานะเป็นหนี้เสีย (NPL) ณ 31 ต.ค. 67 (ค้างชำระเกิน 90 วัน)</t>
  </si>
  <si>
    <t>คุณสามารถเข้าร่วมมาตรการที่ 3 “จ่าย ตัด ต้น” ได้ หากคุณมีสถานะเป็นหนี้เสีย (NPL) ณ วันที่ 31 ตุลาคม 2567 โดยมาตรการนี้จะปรับโครงสร้างหนี้บัตรเครดิตเป็นแบบผ่อนชำระเป็นงวด (term loan) และพักดอกเบี้ยไว้ 3 ปี</t>
  </si>
  <si>
    <t>บอทตอบถูกต้องว่ามีเงื่อนไขเพิ่มเติมด้านเวลาการทำสัญญา</t>
  </si>
  <si>
    <t>บอทตอบข้อมูลถูกต้อง 100% ตาม Context โดยระบุเงื่อนไขการเข้าร่วมมาตรการที่ 3 ได้อย่างถูกต้องและครบถ้วนตามเอกสารอ้างอิง</t>
  </si>
  <si>
    <t>บอทตอบตรงประเด็นคำถามของลูกค้า และให้ข้อมูลที่ถูกต้องเกี่ยวกับคุณสมบัติและรูปแบบการช่วยเหลือของมาตรการที่ 3</t>
  </si>
  <si>
    <t>บอทใช้ภาษาที่เข้าใจง่าย สั้นกระชับ และจัดรูปแบบการตอบได้ดี</t>
  </si>
  <si>
    <t>ไม่พบข้อมูล</t>
  </si>
  <si>
    <t>บอทตอบถูก ไม่โดนหลอกว่ามีมาตรการ 4</t>
  </si>
  <si>
    <t>ข้อมูลที่บอทตอบว่า "ไม่พบข้อมูล" นั้นถูกต้องตามเอกสารที่ไม่มีมาตรการที่ 4 แต่การตอบไม่ระบุเจาะจงถึงสิ่งที่ลูกค้าอาจจะกำลังค้นหา (มาตรการที่ 4 ยกหนี้ให้ฟรี) ทำให้ความถูกต้องไม่สมบูรณ์ 100% แต่ก็ไม่ผิดพลาด</t>
  </si>
  <si>
    <t>บอทตอบตรงกับคำถามที่ลูกค้าให้มา (ไม่พบข้อมูล) แต่ไม่ได้วิเคราะห์เจาะจงถึงสิ่งที่ลูกค้าอาจจะกำลังมองหา (มาตรการที่ 4 ยกหนี้ให้ฟรี) ซึ่งจะทำให้คำตอบมีประโยชน์มากขึ้น ถือว่ายอมรับได้แต่ไม่ดีที่สุด</t>
  </si>
  <si>
    <t>คำตอบสั้น กระชับ และเข้าใจง่าย</t>
  </si>
  <si>
    <t>ควรระบุให้ชัดเจนว่าไม่พบข้อมูลของ "มาตรการที่ 4 ยกหนี้ให้ฟรี" เพื่อให้คำตอบมีประโยชน์และตรงประเด็นกับสิ่งที่ลูกค้าอาจจะกำลังค้นหามากขึ้น</t>
  </si>
  <si>
    <t>ไม่เป็นความจริงครับ เงื่อนไขของมาตรการที่ 1 ระบุว่าลูกหนี้จะไม่สามารถทำสัญญาสินเชื่ออุปโภคบริโภคใหม่ได้ใน 12 เดือนแรกหลังเข้าร่วมมาตรการ หากมีการก่อหนี้ใหม่ในช่วงเวลาดังกล่าว จะต้องออกจากมาตรการและต้องชำระดอกเบี้ยที่ได้รับการพักไว้ทั้งหมดครับ</t>
  </si>
  <si>
    <t>บอทตอบถูก ไม่่โดนหลอก</t>
  </si>
  <si>
    <t>คำตอบของ Chatbot ตรงกับข้อมูลในเอกสารอ้างอิง 100% โดยเป็นการยืนยันเงื่อนไขของมาตรการที่ 1 ที่ลูกค้ากล่าวถึง</t>
  </si>
  <si>
    <t>แม้ว่าคำตอบจะเป็นการกล่าวซ้ำข้อความของลูกค้า แต่เป็นการยืนยันความถูกต้องของเงื่อนไขที่ลูกค้าเข้าใจ ซึ่งถือว่ายอมรับได้ตามหลักการ Safe Response ที่เน้นการกางเงื่อนไขที่ถูกต้อง</t>
  </si>
  <si>
    <t>ภาษาที่ใช้เข้าใจง่ายและเป็นธรรมชาติ เนื่องจากเป็นการกล่าวซ้ำข้อความที่ชัดเจนอยู่แล้ว</t>
  </si>
  <si>
    <t>Chatbot ควรมีการตอบรับหรือยืนยันความถูกต้องของข้อมูลที่ลูกค้าให้มาอย่างชัดเจน เช่น "ถูกต้องครับ" หรือ "คุณเข้าใจถูกต้องแล้วครับ" แทนที่จะกล่าวซ้ำข้อความเดิมทั้งหมด</t>
  </si>
  <si>
    <t>มาตรการที่ 2 “จ่าย ปิด จบ” กำหนดคุณสมบัติลูกหนี้สินเชื่อที่มีหลักประกันไว้ว่า ต้องมียอดหนี้ไม่เกิน 30,000 บาทต่อบัญชี และต้องเป็นกรณีที่ "บังคับหลักประกันแล้วและไม่สามารถติดตามทรัพย์ได้" เท่านั้น กรณีของคุณที่ถูกยึดรถไปแล้วจึงไม่เข้าเงื่อนไขของมาตรการนี้</t>
  </si>
  <si>
    <t>บอทตอบเป็นภาษาที่ชาวบ้านไม่เข้าใจ</t>
  </si>
  <si>
    <t>บอทระบุเงื่อนไขคุณสมบัติของมาตรการที่ 2 "จ่าย ปิด จบ" สำหรับสินเชื่อที่มีหลักประกันได้อย่างถูกต้องตามเอกสารอ้างอิง</t>
  </si>
  <si>
    <t>บอทฟันธงปฏิเสธลูกค้าโดยตรงว่าไม่เข้าเงื่อนไข ซึ่งขัดแย้งกับคำตอบที่ถูกต้องที่ระบุว่าลูกค้าสามารถเข้าร่วมมาตรการได้ ถือเป็นการให้ข้อมูลที่ไม่ตรงประเด็นกับผลลัพธ์ที่คาดหวัง</t>
  </si>
  <si>
    <t>ภาษาที่ใช้เข้าใจง่ายและกระชับ</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</si>
  <si>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</si>
  <si>
    <t>ควรหลีกเลี่ยงการฟันธงปฏิเสธลูกค้าโดยตรง หากการตีความเงื่อนไขมีความซับซ้อน หรือควรให้คำตอบในลักษณะที่เปิดโอกาสให้ลูกค้าพิจารณาตนเองตามเงื่อนไขที่ถูกต้อง หรือให้คำตอบที่สอดคล้องกับผลลัพธ์ที่คาดหวัง (ในกรณีนี้คือการยืนยันว่าเข้าร่วมได้)</t>
  </si>
  <si>
    <t>หากคุณมีหนี้บัตรเครดิต 50,000 บาท และเข้าร่วมมาตรการที่ 3 “จ่าย ตัด ต้น” จะต้องผ่อนชำระ 2% ของเงินต้นคงค้าง ซึ่งคิดเป็นเงิน 1,000 บาทต่อเดือน</t>
  </si>
  <si>
    <t>บอทตอบได้ถูกต้องตรงตามเอกสาร ตรงคำถาม กระชับ ได้ใจความ</t>
  </si>
  <si>
    <t>ข้อมูลถูกต้อง 100% ตาม Context ที่ระบุว่าต้องผ่อนชำระ 2% ของเงินต้นคงค้าง และการคำนวณ 2% ของ 50,000 บาท ได้ 1,000 บาทนั้นถูกต้อง</t>
  </si>
  <si>
    <t>ตอบตรงคำถามและยืนยันการคำนวณของลูกค้าได้อย่างถูกต้องแม่นยำ</t>
  </si>
  <si>
    <t>ไม่มีคำแนะนำเพิ่มเติม เนื่องจากคำตอบถูกต้องและตรงประเด็น</t>
  </si>
  <si>
    <t>ในมาตรการ "จ่าย ตัด ต้น" ดอกเบี้ยที่ค้างอยู่จะถูกตั้งพักไว้เป็นเวลา 3 ปี โดยหากผู้เข้าร่วมโครงการสามารถปฏิบัติตามเงื่อนไขของมาตรการได้ครบถ้วน ดอกเบี้ยที่พักไว้ทั้งหมดจะได้รับการยกเว้น แต่หากไม่สามารถปฏิบัติตามเงื่อนไขได้ จะต้องชำระดอกเบี้ยที่ได้รับการพักไว้</t>
  </si>
  <si>
    <t>ข้อมูลที่บอทตอบถูกต้อง 100% ตามเอกสารอ้างอิงในส่วนของมาตรการ "จ่าย ตัด ต้น" เกี่ยวกับการพักดอกเบี้ยและการยกเว้นดอกเบี้ยหากปฏิบัติตามเงื่อนไข รวมถึงการต้องชำระดอกเบี้ยหากไม่สามารถปฏิบัติตามเงื่อนไขได้</t>
  </si>
  <si>
    <t>บอทตอบตรงประเด็นคำถามของลูกค้าเกี่ยวกับดอกเบี้ยในมาตรการ "จ่าย ตัด ต้น" โดยให้ข้อมูลที่ถูกต้องและครบถ้วนตามที่ลูกค้าสอบถาม</t>
  </si>
  <si>
    <t>ภาษาที่บอทใช้เป็นธรรมชาติ เข้าใจง่าย และจัดรูปแบบได้ดี ทำให้ผู้อ่านสามารถทำความเข้าใจข้อมูลได้ทันที</t>
  </si>
  <si>
    <t>ไม่มี เนื่องจากคำตอบถูกต้อง ชัดเจน และตรงประเด็น</t>
  </si>
  <si>
    <t>หากเข้าร่วมมาตรการที่ 3 “จ่าย ตัด ต้น” ค่างวดที่จ่ายจะถูกนำไปตัดเงินต้นทั้งหมดเป็นระยะเวลา 3 ปี โดยดอกเบี้ยจะถูกตั้งพักไว้ หากปฏิบัติได้ตามเงื่อนไขครบถ้วน ดอกเบี้ยที่พักไว้ทั้งหมดจะได้รับการยกเว้น ทำให้เงินต้นลดลงตามจำนวนค่างวดที่ชำระจริง</t>
  </si>
  <si>
    <t>บอทหยิบเงื่อนไขมาอธิบายถูกแต่ไม่ยอมคำนวณเลขให้ แต่ก็ยอมรับได้เนื่องจากการให้ LLM คำนวณเลขมีโอกาสทำผิดสูง</t>
  </si>
  <si>
    <t>ไม่ได้ตอบคำถามลูกค้าโดยตรง แต่ลูกค้าสามารถเอาคำตอบไปคิดเองได้</t>
  </si>
  <si>
    <t>ข้อมูลถูกต้อง 100% ตาม Context ที่ระบุว่า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t>
  </si>
  <si>
    <t>ตอบตรงคำถามของลูกค้าที่ต้องการยืนยันรายละเอียดของมาตรการที่ 3</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</si>
  <si>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</si>
  <si>
    <t>ถ้าเข้ามาตรการ 1 แล้วจ่ายค่างวดขั้นต่ำ 50% ไม่ไหว จะโดนอะไรบ้าง</t>
  </si>
  <si>
    <t>หากคุณไม่สามารถชำระค่างวดขั้นต่ำตามที่กำหนด หรือไม่สามารถปฏิบัติตามเงื่อนไขอื่น ๆ ของมาตรการที่ 1 ได้ (เช่น ก่อหนี้ใหม่ก่อนระยะเวลา 12 เดือน) คุณจะต้องออกจากมาตรการและต้องชำระดอกเบี้ยที่ได้รับการพักไว้ทั้งหมด</t>
  </si>
  <si>
    <t>คำตอบของ Chatbot ตรงกับข้อมูลในเอกสารอ้างอิงทุกประการเกี่ยวกับเงื่อนไขและผลลัพธ์ของการไม่ปฏิบัติตามมาตรการที่ 1</t>
  </si>
  <si>
    <t>คำตอบตรงประเด็นกับคำถามของลูกค้าที่สอบถามถึงผลที่ตามมาหากไม่สามารถปฏิบัติตามเงื่อนไขของมาตรการที่ 1 ได้</t>
  </si>
  <si>
    <t>ไม่มีข้อเสนอแนะในการปรับปรุง เนื่องจากคำตอบถูกต้องและตรงประเด็น</t>
  </si>
  <si>
    <t>ทดสอบการแนะนำช่องทางสมัครและแอปยืนยันตัวตนของโครงการคุณสู้เราช่วย</t>
  </si>
  <si>
    <t>"ต้องไปสมัครที่ไหนครับ ต้องโหลดแอปอะไรหรือเปล่า"</t>
  </si>
  <si>
    <t>ลงทะเบียนผ่านเว็บ https://www.bot.or.th/khunsoo หรือสาขาธนาคาร โดยต้องยืนยันตัวตนผ่านแอป ThaiD (ไทยดี) (ที่มา: khunsoo-v1_augmented.txt, บรรทัด 50-51)</t>
  </si>
  <si>
    <t>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 โดยคุณสามารถติดต่อสอบถามรายละเอียดและดำเนินการสมัครได้โดยตรงกับสถาบันการเงินหรือผู้ให้บริการที่เป็นเจ้าหนี้ของคุณ</t>
  </si>
  <si>
    <t>บอทบอกว่าเงื่อนไขแต่ละที่แตกต่างกัน แต่ควรจะต้องให้เบอร์ติดต่อใครซักคนเพื่อให้ลูกค้ารู้ว่าควรไปต่อยังไง</t>
  </si>
  <si>
    <t>จริงๆลูกค้าอยากรู้ว่าต้องลงทะเบียนยังไง แต่ตอบยังไม่ตรงคำถาม</t>
  </si>
  <si>
    <t>คำตอบของ Chatbot เป็นข้อความที่ถูกต้อง 100% ตามข้อมูลอ้างอิงจากฐานข้อมูล (Context) ที่ให้มา (khunsoo-v3p0.txt, บรรทัด 1-6).</t>
  </si>
  <si>
    <t>เนื่องจากข้อมูลอ้างอิงที่ให้มา (khunsoo-v3p0.txt) ไม่มีรายละเอียดช่องทางการลงทะเบียนที่เฉพาะเจาะจง (เช่น เว็บไซต์หรือแอปพลิเคชัน) การที่ Chatbot ตอบโดยแนะนำให้ลูกค้าศึกษาเงื่อนไขและติดต่อสถาบันการเงินโดยตรง ถือเป็นการตอบที่เหมาะสมและตรงประเด็นที่สุดภายใต้ข้อจำกัดของข้อมูลที่มีอยู่ เพื่อนำทางลูกค้าไปยังแหล่งข้อมูลที่ถูกต้องและปลอดภัย.</t>
  </si>
  <si>
    <t>ภาษาที่ใช้เป็นธรรมชาติ สั้น กระชับ และเข้าใจง่าย.</t>
  </si>
  <si>
    <t>ไม่มี. คำตอบของ Chatbot เหมาะสมที่สุดแล้วภายใต้ข้อมูลอ้างอิงที่ได้รับ. หากต้องการให้ Chatbot ตอบรายละเอียดการลงทะเบียนที่เฉพาะเจาะจง ควรเพิ่มข้อมูลดังกล่าวใน Context ที่ใช้ในการประเมิน.</t>
  </si>
  <si>
    <t>ทดสอบกระบวนการเปลี่ยนมาตรการข้ามเฟสภายใต้โครงการคุณสู้เราช่วย</t>
  </si>
  <si>
    <t>"ตอนนี้ใช้มาตรการจ่ายตรงคงทรัพย์ เฟส 1 อยู่ แต่อยากย้ายไปใช้ จ่ายปิดจบ เฟส 2 ทำได้ไหม"</t>
  </si>
  <si>
    <t>ทำได้โดยต้องลงทะเบียนใหม่และติดต่อเจ้าหนี้ แต่ต้องยอมรับความเสี่ยงเรื่องดอกเบี้ยตั้งพักส่วนที่รัฐไม่สนับสนุนอาจไม่ได้รับการยกเว้น (ที่มา: khunsoo-v1_augmented.txt, บรรทัด 52-52)</t>
  </si>
  <si>
    <t>มาตรการของผู้ให้บริการแต่ละแห่งมีเงื่อนไขที่แตกต่างกัน โปรดศึกษารายละเอียด คุณสมบัติ และเงื่อนไข ก่อนลงทะเบียนเข้าร่วมโครงการ ทั้งนี้ ข้อมูลในเอกสารไม่ได้ระบุถึงการย้ายระหว่างมาตรการไว้โดยเฉพาะ</t>
  </si>
  <si>
    <t>บอทสามารถบอกได้ว่าเงื่อนไขนี้ไม่มีในเอกสาร และให้ลูกค้าไปปรึกษาเจ้าหนี้โดยตรง ถูกต้อง</t>
  </si>
  <si>
    <t>บอทเลี่ยงการตอบในสิ่งที่ไม่อยู่ในเอกสาร ซึ่งตรงกับสิ่งที่ต้องการ</t>
  </si>
  <si>
    <t>ตอบตรง Topic แต่ว่าควรจะมีการบอกนิดนึงว่าควรจะไปปรึกษาใคร</t>
  </si>
  <si>
    <t>บอทตอบข้อมูลถูกต้อง 100% ตาม Context ที่ให้มา โดยระบุว่าข้อมูลในเอกสารไม่ได้กล่าวถึงการย้ายระหว่างมาตรการไว้โดยเฉพาะ ซึ่งเป็นไปตามหลักการ Safe Response</t>
  </si>
  <si>
    <t>บอทตอบตรงประเด็นโดยแจ้งว่าข้อมูลในเอกสารไม่ครอบคลุมเรื่องการย้ายมาตรการ ซึ่งเป็นการตอบแบบกางเงื่อนไขที่ถูกต้องและยอมรับได้ เพื่อลดความเสี่ยงจากการให้ข้อมูลผิดพลาด</t>
  </si>
  <si>
    <t>หากมีข้อมูลเพิ่มเติมเกี่ยวกับการย้ายระหว่างมาตรการในเอกสารอื่น ควรนำมาใช้เพื่อให้คำตอบสมบูรณ์ยิ่งขึ้น</t>
  </si>
  <si>
    <t>เริ่มหมุนเงินไม่ทัน อยากเตรียมตัวแก้หนี้ต้องดูอะไรบ้าง</t>
  </si>
  <si>
    <t>บอทควรสามารถแนะนำได้ว่าลูกค้าควรต้องประเมินสถานการณ์ของตัวเอง แต่ตอบว่าไม่รู้เพื่อรักษาความ faithfulness</t>
  </si>
  <si>
    <t>ไม่ตอบเกินเอกสารที่ Retrieve ได้</t>
  </si>
  <si>
    <t>บอทตอบคำถามที่ควรจะตอบได้ไม่ได้ เนื่องจาก Retrieved Context ไม่มีข้อมูลที่จำเป็น</t>
  </si>
  <si>
    <t>ไม่สามารถประเมินความถูกต้องได้ เนื่องจากไม่มีคำตอบจาก Chatbot ให้ตรวจสอบ</t>
  </si>
  <si>
    <t>ไม่สามารถประเมินความตรงประเด็นได้ เนื่องจากไม่มีคำถามลูกค้าและคำตอบจาก Chatbot</t>
  </si>
  <si>
    <t>ไม่สามารถประเมินความเข้าใจง่ายได้ เนื่องจากไม่มีคำตอบจาก Chatbot</t>
  </si>
  <si>
    <t>โปรดระบุคำถามลูกค้าและคำตอบจาก Chatbot เพื่อให้สามารถทำการประเมินได้</t>
  </si>
  <si>
    <t>การปรับโครงสร้างหนี้ คือการขอปรับเปลี่ยนเงื่อนไขการชำระหนี้ใหม่ให้เหมาะสมกับความสามารถในการชำระหนี้ของลูกหนี้แต่ละราย 
เป้าหมายสำคัญคือ:
1. ช่วยให้จ่ายหนี้ได้ตามกำลังและไม่ทำให้เกิดหนี้เสีย (NPL) 
2. ป้องกันผลกระทบต่อประวัติในเครดิตบูโรและปัญหาทางคดีความ เช่น การถูกฟ้องร้องหรือยึดทรัพย์ 
3. ช่วยให้ลูกหนี้ที่ประสบปัญหาทางการเงินสามารถกลับมาชำระหนี้ได้ตามความสามารถและฟื้นตัวทางการเงินได้อย่างยั่งยืน</t>
  </si>
  <si>
    <t>ข้อมูลที่บอทตอบถูกต้อง 100% ตาม Context ที่ให้มา แม้จะเป็นการทวนคำถามของลูกค้า แต่เนื้อหาในคำถามนั้นถูกต้องตามเอกสารอ้างอิง</t>
  </si>
  <si>
    <t>บอทตอบตรงประเด็นกับคำถามของลูกค้าที่ต้องการทราบความหมายและเป้าหมายของการปรับโครงสร้างหนี้</t>
  </si>
  <si>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t>
  </si>
  <si>
    <t>บอทสามารถปรับปรุงโดยการสรุปหรือเรียบเรียงคำตอบใหม่เล็กน้อย แทนที่จะทวนคำถามของลูกค้าโดยตรง เพื่อให้ดูเป็นธรรมชาติมากขึ้น แต่คำตอบปัจจุบันก็ถือว่าถูกต้องและยอมรับได้</t>
  </si>
  <si>
    <t>บอทควรแนะนำได้ว่าสินเชื่อรวมหนี้คืออะไร แต่ไม่สามารถ retrieve ข้อมูลส่วนที่เกี่ยวข้องมาใน chunk ได้</t>
  </si>
  <si>
    <t>ไม่ออกนอก context ที่ให้มา</t>
  </si>
  <si>
    <t>ตอบคำถามลูกค้าไม่ได้ทั้งๆที่มีข้อมูลใน document</t>
  </si>
  <si>
    <t>ไม่สามารถประเมินความถูกต้องได้ เนื่องจากไม่มีคำตอบจาก Chatbot</t>
  </si>
  <si>
    <t>ไม่สามารถประเมินความตรงประเด็นได้ เนื่องจากไม่มีคำถามจากลูกค้าและคำตอบจาก Chatbot</t>
  </si>
  <si>
    <t>กรุณาให้ข้อมูล User Query และ Chatbot Response เพื่อทำการประเมิน</t>
  </si>
  <si>
    <t>มาตรการสำหรับสินเชื่อไม่มีหลักประกันภายใต้โครงการ “คุณสู้ เราช่วย” มีดังนี้:
1. **มาตรการ “จ่าย ตัด ต้น”**: สำหรับหนี้เสีย (NPL) ณ 31 ต.ค. 67 ยอดหนี้ไม่เกิน 50,000 บาทต่อบัญชี และทำสัญญาก่อน 1 ม.ค. 67 โดยจะปรับโครงสร้างหนี้ให้ผ่อนชำระเป็นงวด (term loan) และพักดอกเบี้ยไว้ 3 ปี 
2. **มาตรการ “จ่าย ปิด จบ”**: สำหรับหนี้เสีย (NPL) ณ 31 ต.ค. 67 ที่ค้างชำระเกิน 90 วัน และมีภาระหนี้สินเชื่อไม่มีหลักประกันไม่เกิน 10,000 บาทต่อบัญชี โดยสามารถชำระหนี้บางส่วนเพื่อปิดบัญชีได้ 
โปรดศึกษารายละเอียดและเงื่อนไขจากผู้ให้บริการแต่ละแห่งก่อนลงทะเบียน</t>
  </si>
  <si>
    <t>คำถามลูกค้าสามารถตีความได้หลายแง่ ทำให้บอทให้ข้อมูลโครงการคุณสู้เราช่วยแทน แต่ให้ข้อมูลถูกต้อง</t>
  </si>
  <si>
    <t>ข้อมูลที่บอทให้มาถูกต้อง 100% ตามเอกสารอ้างอิงทุกประการ ทั้งในส่วนของมาตรการ "จ่าย ตัด ต้น" และ "จ่าย ปิด จบ" รวมถึงเงื่อนไขและคุณสมบัติของแต่ละมาตรการ</t>
  </si>
  <si>
    <t>บอทตอบตรงประเด็นโดยการยืนยันข้อมูลที่ลูกค้าให้มา ซึ่งข้อมูลนั้นถูกต้องตามเอกสารอ้างอิงทุกประการ ไม่มีการฟันธงผิดพลาดหรือให้ข้อมูลที่ไม่เกี่ยวข้อง</t>
  </si>
  <si>
    <t>คำตอบของบอทใช้ภาษาที่เข้าใจง่าย สั้นกระชับ และมีการจัดรูปแบบเป็นข้อๆ ทำให้ง่ายต่อการอ่านและทำความเข้าใจ</t>
  </si>
  <si>
    <t>ข้อมูลในโครงการ “คุณสู้ เราช่วย” ระบุว่าหากลูกหนี้เข้าร่วมมาตรการ จะถูกรายงานข้อมูลในบริษัทข้อมูลเครดิต (NCB) ว่าเข้าร่วมมาตรการดังกล่าว</t>
  </si>
  <si>
    <t>ข้อมูลที่บอทตอบถูกต้อง 100% ตามเอกสารอ้างอิงที่ระบุว่า "จะถูกรายงานข้อมูลใน NCB ว่าเข้าร่วมมาตรการ" ซึ่งปรากฏอยู่ในทุกมาตรการของโครงการฯ</t>
  </si>
  <si>
    <t>บอทตอบตรงประเด็นโดยการยืนยันข้อมูลที่ลูกค้าสอบถาม ซึ่งเป็นข้อมูลที่ถูกต้องตามเอกสาร แม้ว่าจะไม่ได้ให้ข้อมูลเชิงลึกเกี่ยวกับผลกระทบต่อคะแนนเครดิตเหมือน Expected Output แต่เนื่องจากข้อมูลดังกล่าวไม่ได้อยู่ใน Context ที่ให้มา การที่บอทไม่ฟันธงหรือให้ข้อมูลที่ไม่มีในเอกสารถือว่าเป็นการตอบที่ปลอดภัยและยอมรับได้</t>
  </si>
  <si>
    <t>บอทสามารถเพิ่มข้อมูลได้ว่าเอกสารโครงการระบุเพียงแค่ว่าจะถูกรายงานข้อมูลใน NCB แต่ไม่ได้ระบุถึงผลกระทบต่อคะแนนเครดิตโดยตรง และแนะนำให้ลูกค้าปรึกษาผู้เชี่ยวชาญด้านการเงินเพิ่มเติมหากต้องการทราบผลกระทบที่ชัดเจน</t>
  </si>
  <si>
    <t>สำหรับลูกหนี้ที่ประสบปัญหาทางการเงินและต้องการความช่วยเหลือชั่วคราว สามารถศึกษาข้อมูลโครงการ “คุณสู้ เราช่วย” ซึ่งเป็นมาตรการชั่วคราวเพื่อช่วยเหลือลูกหนี้รายย่อยและ SMEs โดยเงื่อนไขและคุณสมบัติขึ้นอยู่กับผู้ให้บริการแต่ละแห่ง โปรดศึกษารายละเอียดก่อนลงทะเบียนเข้าร่วมโครงการ</t>
  </si>
  <si>
    <t>ข้อมูลถูกต้อง 100% ตาม Context ที่ให้มาเกี่ยวกับโครงการ “คุณสู้ เราช่วย” และมีการแนะนำให้ลูกค้าศึกษาเงื่อนไขเพิ่มเติม ซึ่งเป็นไปตามหลักการ Safe Response</t>
  </si>
  <si>
    <t>ตอบตรงคำถามของลูกค้าเกี่ยวกับโครงการ “คุณสู้ เราช่วย” และให้ข้อมูลที่เกี่ยวข้องอย่างครบถ้วนตาม Context โดยไม่ฟันธง แต่แนะนำให้ลูกค้าตรวจสอบเงื่อนไขด้วยตนเอง ซึ่งเป็นแนวทางที่ยอมรับได้และปลอดภัย</t>
  </si>
  <si>
    <t>ภาษาเป็นธรรมชาติ สั้นกระชับ และจัดรูปแบบดี ทำให้เข้าใจง่าย</t>
  </si>
  <si>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</si>
  <si>
    <t>ไม่มีคำแนะนำเพิ่มเติม เนื่องจากคำตอบถูกต้อง ครบถ้วน และปลอดภัยตามหลักเกณฑ์</t>
  </si>
  <si>
    <t>BAD-001</t>
  </si>
  <si>
    <t>บอทให้ข้อมูลผิดพลาดเรื่องการก่อหนี้ใหม่ (Hallucination)</t>
  </si>
  <si>
    <t>"ถ้าผมเข้าโครงการมาตรการ 1 แล้ว จะไปทำสัญญาผ่อนมือถือเครื่องใหม่ได้เลยไหม"</t>
  </si>
  <si>
    <t>ไม่สามารถทำได้ เนื่องจากเงื่อนไขระบุว่าลูกหนี้ห้ามทำสัญญาสินเชื่ออุปโภคบริโภคใหม่ใน 12 เดือนแรก หากฝ่าฝืนต้องออกจากมาตรการ,</t>
  </si>
  <si>
    <t>"สามารถทำได้ครับ เพราะโครงการนี้ช่วยลดภาระหนี้เดิมเพื่อให้คุณมีเงินเหลือไปใช้จ่ายในสิ่งที่จำเป็นได้ตามปกติ"</t>
  </si>
  <si>
    <t>บอทตอบมั่ว ไม่ตรงเอกสาร</t>
  </si>
  <si>
    <t>ตอบตรงคำถาม แต่ตอบผิด</t>
  </si>
  <si>
    <t>บอทให้ข้อมูลที่ขัดแย้งกับเอกสารอ้างอิงอย่างชัดเจน โดยระบุว่า "สามารถทำได้" ทั้งที่เงื่อนไขระบุว่า "ลูกหนี้จะไม่สามารถทำสัญญาสินเชื่ออุปโภคบริโภคใหม่ ใน 12 เดือนแรกหลังเข้าร่วมมาตรการ"</t>
  </si>
  <si>
    <t>บอทตอบผิดประเด็นและให้คำแนะนำที่ผิดพลาด ซึ่งอาจนำไปสู่การที่ลูกค้าไม่สามารถปฏิบัติตามเงื่อนไขมาตรการได้</t>
  </si>
  <si>
    <t>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</si>
  <si>
    <t>บอทควรตอบโดยอ้างอิงเงื่อนไขที่ถูกต้องจากเอกสารอย่างเคร่งครัด โดยเฉพาะเงื่อนไขข้อห้ามต่างๆ และควรแจ้งผลกระทบหากไม่ปฏิบัติตามเงื่อนไข</t>
  </si>
  <si>
    <t>BAD-002</t>
  </si>
  <si>
    <t>บอทละเลยการเตือนความเสี่ยงสำคัญ (Missing Risks)</t>
  </si>
  <si>
    <t>"การรวมหนี้บัตรเครดิตมาไว้กับหนี้บ้านมีแต่ข้อดีใช่ไหมครับ"</t>
  </si>
  <si>
    <t>ต้องเตือนว่า ดอกเบี้ยรวมอาจสูงขึ้น หากผ่อนนานขึ้น และเสี่ยง สูญเสียบ้าน หากผ่อนต่อไม่ไหว,</t>
  </si>
  <si>
    <t>"ใช่ครับ เป็นวิธีที่คุ้มค่าที่สุด ช่วยลดดอกเบี้ยให้ต่ำลงและช่วยให้คุณผ่อนสบายขึ้นโดยไม่มีข้อเสียครับ"</t>
  </si>
  <si>
    <t>คำตอบของ Chatbot ขัดแย้งโดยตรงกับข้อมูลอ้างอิง โดยระบุว่า "ไม่มีข้อเสีย" และ "ช่วยลดดอกเบี้ยให้ต่ำลง" ทั้งที่ข้อมูลอ้างอิงระบุถึง "ดอกเบี้ยรวมสูงกว่า" และ "ความเสี่ยงสูญเสียบ้าน"</t>
  </si>
  <si>
    <t>Chatbot ยืนยันและเห็นด้วยกับข้อความของลูกค้าที่อาจเข้าใจผิด แทนที่จะให้ข้อมูลที่ถูกต้องและครบถ้วนตามบริบทที่ควรจะเตือนถึงความเสี่ยงและข้อเสีย ไม่มีการกางเงื่อนไขที่ถูกต้องเพื่อความปลอดภัย</t>
  </si>
  <si>
    <t>ภาษาที่ใช้เข้าใจง่ายและกระชับ แต่เนื้อหาที่สื่อสารนั้นผิดพลาดและเป็นอันตราย</t>
  </si>
  <si>
    <t>"ระยะเวลาผ่อนที่นานขึ้น อาจทำให้ดอกเบี้ยรวมสูงกว่าการผ่อนของเดิม" (จาก) "หากผ่อนต่อไม่ไหวอาจมีความเสี่ยงสูญเสียบ้านได้"</t>
  </si>
  <si>
    <t>Chatbot ต้องให้ข้อมูลที่ถูกต้องและครบถ้วนตามบริบท โดยเฉพาะอย่างยิ่งในเรื่องที่เกี่ยวข้องกับการเงิน ควรเตือนถึงความเสี่ยงและข้อเสียที่อาจเกิดขึ้น เช่น ดอกเบี้ยรวมที่สูงขึ้นและความเสี่ยงในการสูญเสียบ้าน แทนที่จะให้ข้อมูลเชิงบวกเพียงอย่างเดียวและไม่ถูกต้อง</t>
  </si>
  <si>
    <t>BAD-003</t>
  </si>
  <si>
    <t>บอทให้ข้อมูลผิดเรื่องภาระดอกเบี้ยระหว่างพักหนี้ (Hallucination)</t>
  </si>
  <si>
    <t>"ถ้าตกงานแล้วขอพักชำระทั้งต้นทั้งดอก ดอกเบี้ยจะหยุดเดินด้วยไหม"</t>
  </si>
  <si>
    <t>ดอกเบี้ยยังคงเดินอยู่ตลอดเวลา ที่พักชำระ และต้องนำมาจ่ายคืนภายหลัง,</t>
  </si>
  <si>
    <t>"หากธนาคารอนุมัติให้พักชำระทั้งต้นและดอก ทั้งยอดหนี้และดอกเบี้ยจะถูกหยุดไว้ชั่วคราวโดยไม่มีค่าใช้จ่ายเพิ่มครับ"</t>
  </si>
  <si>
    <t>บอทให้ข้อมูลที่ขัดแย้งกับเอกสารอ้างอิงอย่างชัดเจน โดยระบุว่าดอกเบี้ยจะถูกหยุดไว้ชั่วคราวโดยไม่มีค่าใช้จ่ายเพิ่ม ทั้งที่เอกสารระบุว่าดอกเบี้ยยังคงเดินอยู่ตลอดเวลาที่พักชำระและต้องนำมาจ่ายคืนภายหลัง</t>
  </si>
  <si>
    <t>บอทตอบตรงคำถามแต่ให้ข้อมูลที่ผิดพลาดอย่างสิ้นเชิง ซึ่งเป็นการฟันธงที่ผิดและเป็นอันตรายต่อลูกค้า</t>
  </si>
  <si>
    <t>"ดอกเบี้ยยังคงเดินอยู่ตลอดเวลาที่พักชำระ" (จาก) "เมื่อครบกำหนดพักชำระแล้ว จะต้องจ่ายคืนทั้งเงินต้นและดอกเบี้ยในช่วงที่พักไปด้วย"</t>
  </si>
  <si>
    <t>บอทควรตอบตามข้อมูลอ้างอิงที่ถูกต้องว่าดอกเบี้ยยังคงเดินอยู่ตลอดเวลาที่พักชำระ และจะต้องจ่ายคืนทั้งเงินต้นและดอกเบี้ยในช่วงที่พักไปด้วยเมื่อครบกำหนดพักชำระ</t>
  </si>
  <si>
    <t>BAD-004</t>
  </si>
  <si>
    <t>"ถ้าเข้าโครงการคุณสู้ มาตรการ 1 แล้ว ผมจะไปกู้เงินผ่อนรถคันใหม่ได้ไหม"</t>
  </si>
  <si>
    <t>ไม่สามารถทำได้ เนื่องจากเงื่อนไขระบุว่าลูกหนี้ห้ามทำสัญญาสินเชื่ออุปโภคบริโภคใหม่ใน 12 เดือนแรก,</t>
  </si>
  <si>
    <t>"สามารถทำได้ครับ โครงการนี้ออกแบบมาเพื่อเพิ่มสภาพคล่องให้คุณมีเงินเหลือไปใช้จ่ายหรือกู้ซื้อทรัพย์สินที่จำเป็นเพิ่มได้ทันที"</t>
  </si>
  <si>
    <t>บอทให้ข้อมูลที่ขัดแย้งกับเอกสารอ้างอิงอย่างชัดเจน โดยระบุว่า "สามารถทำได้" ทั้งที่เอกสารระบุว่า "ไม่สามารถทำได้ใน 12 เดือนแรก"</t>
  </si>
  <si>
    <t>บอทตอบตรงประเด็นแต่ให้ข้อมูลที่ผิดพลาดอย่างสิ้นเชิง ซึ่งนำไปสู่ความเข้าใจผิดของลูกค้าและอาจก่อให้เกิดปัญหาตามมา</t>
  </si>
  <si>
    <t>ภาษาที่ใช้เข้าใจง่ายและกระชับ แต่เนื้อหาผิดพลาด</t>
  </si>
  <si>
    <t>"ลูกหนี้จะไม่สามารถทำสัญญาสินเชื่ออุปโภคบริโภคใหม่ ใน 12 เดือนแรกหลังเข้าร่วมมาตรการ"</t>
  </si>
  <si>
    <t>บอทต้องตอบตามเงื่อนไขที่ระบุในเอกสารอ้างอิงอย่างเคร่งครัด โดยแจ้งว่าไม่สามารถทำสัญญาสินเชื่ออุปโภคบริโภคใหม่ได้ใน 12 เดือนแรกหลังเข้าร่วมมาตรการ</t>
  </si>
  <si>
    <t>BAD-005</t>
  </si>
  <si>
    <t>บอทละเลยความเสี่ยงเรื่องหลักประกัน (Missing Risks)</t>
  </si>
  <si>
    <t>"การเอาบ้านมาค้ำเพื่อรวมหนี้บัตรเครดิตมีข้อเสียอะไรที่ต้องระวังไหม"</t>
  </si>
  <si>
    <t>ต้องเตือนว่า บ้านจะกลายเป็นหลักประกัน หากผ่อนต่อไม่ไหวอาจมีความเสี่ยง สูญเสียบ้าน ได้</t>
  </si>
  <si>
    <t>"ไม่มีข้อเสียครับ เป็นวิธีที่ฉลาดที่สุดเพราะจะทำให้ดอกเบี้ยบัตรลดลงเหลือเท่าดอกเบี้ยบ้าน ทำให้คุณประหยัดเงินได้มหาศาล"</t>
  </si>
  <si>
    <t>คำตอบของ Chatbot ระบุว่า "ไม่มีข้อเสียครับ" ซึ่งขัดแย้งโดยตรงกับข้อมูลอ้างอิงที่ระบุถึงความเสี่ยงในการสูญเสียบ้านหากผ่อนต่อไม่ไหว การละเว้นข้อมูลสำคัญนี้ทำให้ข้อมูลไม่ถูกต้องตามเอกสาร</t>
  </si>
  <si>
    <t>Chatbot ตอบตรงประเด็นในแง่ของการประหยัดเงิน แต่ล้มเหลวในการให้ข้อมูลที่ครบถ้วนและสมดุล โดยละเลยความเสี่ยงที่สำคัญที่สุดที่เกี่ยวข้องกับการใช้บ้านค้ำประกัน ซึ่งทำให้คำตอบไม่เหมาะสมและอาจนำไปสู่ความเข้าใจผิดได้ ไม่มีการกางเงื่อนไขเพื่อความปลอดภัย</t>
  </si>
  <si>
    <t>ภาษาที่ใช้เป็นธรรมชาติ สั้น กระชับ และเข้าใจง่าย</t>
  </si>
  <si>
    <t>"ความเสี่ยงเรื่องหลักประกัน (กรณีใช้บ้านค้ำ): ...บ้านจะกลายเป็นหลักประกัน หากผ่อนต่อไม่ไหวอาจมีความเสี่ยงสูญเสียบ้านได้"</t>
  </si>
  <si>
    <t>Chatbot ต้องรวมข้อมูลเกี่ยวกับความเสี่ยงที่อาจเกิดขึ้นจากการใช้บ้านเป็นหลักประกันหนี้ โดยเฉพาะอย่างยิ่งความเสี่ยงในการสูญเสียบ้าน หากไม่สามารถผ่อนชำระได้ เพื่อให้ข้อมูลที่ครบถ้วนและถูกต้องตามเอกสาร ไม่ควรระบุว่า "ไม่มีข้อเสีย" เมื่อมีข้อเสียที่ชัดเจน</t>
  </si>
  <si>
    <t>BAD-006</t>
  </si>
  <si>
    <t>บอทให้ข้อมูลวงเงินเข้าร่วมโครงการผิด (Hallucination)</t>
  </si>
  <si>
    <t>"มีหนี้บัตรเครดิตเสียอยู่ 8 หมื่นบาทต่อบัญชี เข้ามาตรการ 3 'จ่าย ตัด ต้น' ได้ไหม"</t>
  </si>
  <si>
    <t>ไม่ได้ เนื่องจากมาตรการที่ 3 กำหนดเพดานหนี้เสียสินเชื่อไม่มีหลักประกันไว้ไม่เกิน 50,000 บาทต่อบัญชี</t>
  </si>
  <si>
    <t>"ได้ครับ มาตรการ 3 ยินดีรับลูกหนี้บัตรเครดิตที่เป็น NPL ทุกยอดหนี้ให้เข้ามาปรับเป็น Term Loan ได้ทั้งหมดครับ"</t>
  </si>
  <si>
    <t>บอทให้ข้อมูลที่ขัดแย้งกับเอกสารอ้างอิงอย่างชัดเจน โดยระบุว่า "ทุกยอดหนี้" ทั้งที่เอกสารระบุว่า "ไม่เกิน 50,000 บาทต่อบัญชี"</t>
  </si>
  <si>
    <t>บอทตอบยืนยันความเข้าใจที่ผิดของลูกค้า แทนที่จะแก้ไขหรือให้ข้อมูลที่ถูกต้องตามเงื่อนไขที่กำหนด</t>
  </si>
  <si>
    <t>"สินเชื่อไม่มีหลักประกัน (เช่น บัตรเครดิต สินเชื่อส่วนบุคคล) ยอดหนี้ ไม่เกิน 50,000 บาทต่อบัญชี"</t>
  </si>
  <si>
    <t>บอทควรระบุเงื่อนไขยอดหนี้ที่ถูกต้องตามเอกสาร (ไม่เกิน 50,000 บาทต่อบัญชี) และแก้ไขความเข้าใจผิดของลูกค้า</t>
  </si>
  <si>
    <t>BAD-007</t>
  </si>
  <si>
    <t>บอทละเลยเรื่องดอกเบี้ยรวมที่สูงขึ้น (Missing Risks)</t>
  </si>
  <si>
    <t>"รวมหนี้แล้วยอดผ่อนต่อเดือนลดลง แสดงว่ารวมๆ แล้วเราประหยัดดอกเบี้ยไปได้เยอะเลยใช่ไหม"</t>
  </si>
  <si>
    <t>ต้องเตือนว่าแม้ค่างวดลดลง แต่ ระยะเวลาผ่อนที่นานขึ้นอาจทำให้ดอกเบี้ยรวมสูงกว่าเดิม</t>
  </si>
  <si>
    <t>"ถูกต้องครับ เมื่อค่างวดลดลงและดอกเบี้ยถูกลง ยอดรวมที่คุณต้องจ่ายให้ธนาคารก็จะลดลงตามไปด้วยอย่างแน่นอน"</t>
  </si>
  <si>
    <t>คำตอบของ Chatbot ขัดแย้งโดยตรงกับข้อมูลอ้างอิงที่ระบุว่า "ระยะเวลาผ่อนที่นานขึ้น อาจทำให้ดอกเบี้ยรวมสูงกว่าการผ่อนของเดิม" แต่ Chatbot กลับยืนยันว่ายอดรวมจะลดลงอย่างแน่นอน</t>
  </si>
  <si>
    <t>Chatbot ยืนยันข้อความของลูกค้าที่อาจนำไปสู่ความเข้าใจผิด โดยไม่นำเสนอข้อมูลสำคัญจาก Context ที่เตือนถึงความเป็นไปได้ที่ดอกเบี้ยรวมจะสูงขึ้น ทำให้ตอบผิดประเด็นสำคัญที่ควรแจ้งเตือนลูกค้า</t>
  </si>
  <si>
    <t>ภาษาที่ใช้เข้าใจง่ายและกระชับ แต่เนื้อหาไม่ถูกต้อง</t>
  </si>
  <si>
    <t>"ดอกเบี้ยรวมอาจสูงขึ้น: แม้เห็นว่าดอกเบี้ยรายเดือนต่ำลง... แต่ระยะเวลาผ่อนที่นานขึ้น อาจทำให้ดอกเบี้ยรวมสูงกว่าการผ่อนของเดิม"</t>
  </si>
  <si>
    <t>Chatbot ควรเตือนลูกค้าว่าแม้ค่างวดลดลง แต่ระยะเวลาผ่อนที่นานขึ้นอาจทำให้ดอกเบี้ยรวมสูงกว่าเดิม ตามข้อมูลอ้างอิงที่ให้มา ไม่ควรยืนยันข้อความของลูกค้าที่อาจไม่ถูกต้องเสมอไป</t>
  </si>
  <si>
    <t>BAD-008</t>
  </si>
  <si>
    <t>บอทให้ข้อมูลผิดเรื่องการพักเงินต้น (Hallucination)</t>
  </si>
  <si>
    <t>"ถ้าผมเลือกพักเงินต้น 6 เดือน เงินต้นที่ไม่ได้จ่ายในช่วงนั้นจะถูกยกเว้นให้เลยไหม"</t>
  </si>
  <si>
    <t>ไม่ถูกยกเว้น เงินต้นจะไม่ลดลงและต้องนำไปจ่ายเพิ่มในช่วงท้ายสัญญา (Balloon) หรือขยายเวลาผ่อนนานขึ้น</t>
  </si>
  <si>
    <t>"ใช่ครับ ช่วงที่พัก 6 เดือน ธนาคารจะยกยอดเงินต้นส่วนนั้นให้ฟรีๆ เพื่อเป็นการช่วยเหลือเยียวยาในภาวะวิกฤตครับ"</t>
  </si>
  <si>
    <t>คำตอบของ Chatbot ยืนยันข้อมูลที่ผิดจาก Context อย่างชัดเจน โดยระบุว่าธนาคารจะยกยอดเงินต้นให้ฟรี ซึ่งขัดแย้งกับข้อมูลที่ว่าเงินต้นจะไม่ลดลงและต้องจ่ายคืนแบบ Balloon</t>
  </si>
  <si>
    <t>Chatbot ตอบตรงคำถามแต่ให้ข้อมูลที่ผิดพลาดอย่างร้ายแรง ทำให้ลูกค้าเข้าใจผิดเกี่ยวกับเงื่อนไขการพักชำระหนี้ แทนที่จะแก้ไขความเข้าใจผิดของลูกค้า กลับยืนยันข้อมูลที่ไม่ถูกต้อง</t>
  </si>
  <si>
    <t>"ข้อควรรู้ของการพักชำระเงินต้น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t>
  </si>
  <si>
    <t>Chatbot ควรแก้ไขความเข้าใจผิดของลูกค้าโดยอธิบายว่าเงินต้นจะไม่ถูกยกเว้นในช่วงพักชำระ และจะต้องนำไปจ่ายคืนในช่วงท้ายสัญญา หรือขยายเวลาผ่อนชำระออกไปตามหลักการผ่อนแบบ Balloon</t>
  </si>
  <si>
    <t>Judge Alignment by Iteration</t>
  </si>
  <si>
    <t>Iteration</t>
  </si>
  <si>
    <t>Alignment Rate</t>
  </si>
  <si>
    <t>Remarks</t>
  </si>
  <si>
    <t xml:space="preserve"> 1. Alignments คือ การที่มนุษย์ กับ AI ให้ผ่าน หรือ ตก เท่ากัน (ผ่าน = Score &gt;=3)</t>
  </si>
  <si>
    <t xml:space="preserve"> 2. ใน Final Result มีการเพิ่ม Case ที่เป็น Bad Response Example เพื่อดูว่า Judge จะให้ตกหรือไม่ ซึ่ง Judge ให้ตกหมด</t>
  </si>
  <si>
    <t>สิ่งที่ปรับปรุงไปใน Judge Prompt</t>
  </si>
  <si>
    <t xml:space="preserve"> 1. ให้ผ่อนปรนกรณีที่บอทตอบว่า ไม่สามารถตอบได้ให้โทรหา Call Center เป็น Acceptable (Score=3)</t>
  </si>
  <si>
    <t xml:space="preserve"> 2. ให้ผ่อนปรนกรณีที่บอทตอบว่า คุณเข้าโครงการถ้า… ให้เป็น Acceptable (Score =3)</t>
  </si>
  <si>
    <t xml:space="preserve"> 3. ให้ Judge รู้ว่าเบอร์โทรของ Call Center (ที่อยู่ใน Prompt) ไม่ได้มาจากการ Hallucinate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</si>
</sst>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0"/>
      <color rgb="FF000000"/>
      <name val="Arial"/>
      <scheme val="minor"/>
    </font>
    <font>
      <b/>
      <sz val="10"/>
      <color theme="1"/>
      <name val="Arial"/>
      <family val="2"/>
      <scheme val="minor"/>
    </font>
    <font>
      <sz val="10"/>
      <color theme="1"/>
      <name val="Arial"/>
      <family val="2"/>
      <scheme val="minor"/>
    </font>
    <font>
      <sz val="11"/>
      <color rgb="FF303030"/>
      <name val="&quot;Google Sans Text&quot;"/>
    </font>
    <font>
      <b/>
      <sz val="11"/>
      <color rgb="FF303030"/>
      <name val="&quot;Google Sans Text&quot;"/>
    </font>
    <font>
      <b/>
      <sz val="10"/>
      <color theme="1"/>
      <name val="Arial"/>
      <family val="2"/>
    </font>
    <font>
      <sz val="10"/>
      <color rgb="FF000000"/>
      <name val="Arial"/>
      <family val="2"/>
      <scheme val="minor"/>
    </font>
    <font>
      <b/>
      <sz val="10"/>
      <color rgb="FF000000"/>
      <name val="Arial"/>
      <family val="2"/>
      <scheme val="minor"/>
    </font>
    <font>
      <sz val="10"/>
      <color rgb="FF000000"/>
      <name val="Arial"/>
      <family val="2"/>
      <scheme val="minor"/>
    </font>
    <font>
      <sz val="11"/>
      <color rgb="FF303030"/>
      <name val="Google Sans Text"/>
    </font>
    <font>
      <b/>
      <sz val="11"/>
      <color rgb="FF303030"/>
      <name val="Google Sans Text"/>
    </font>
    <font>
      <b/>
      <sz val="10"/>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DBEACC"/>
        <bgColor indexed="64"/>
      </patternFill>
    </fill>
    <fill>
      <patternFill patternType="solid">
        <fgColor rgb="FFB7E1CD"/>
        <bgColor indexed="64"/>
      </patternFill>
    </fill>
    <fill>
      <patternFill patternType="solid">
        <fgColor rgb="FFFFF2CC"/>
        <bgColor indexed="64"/>
      </patternFill>
    </fill>
    <fill>
      <patternFill patternType="solid">
        <fgColor rgb="FFF4CCCC"/>
        <bgColor indexed="64"/>
      </patternFill>
    </fill>
    <fill>
      <patternFill patternType="solid">
        <fgColor rgb="FFFFFFFF"/>
        <bgColor indexed="64"/>
      </patternFill>
    </fill>
    <fill>
      <patternFill patternType="solid">
        <fgColor theme="9" tint="0.79998168889431442"/>
        <bgColor indexed="64"/>
      </patternFill>
    </fill>
  </fills>
  <borders count="4">
    <border>
      <left/>
      <right/>
      <top/>
      <bottom/>
      <diagonal/>
    </border>
    <border>
      <left/>
      <right/>
      <top/>
      <bottom style="thin">
        <color rgb="FFDDE1EB"/>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DE1EB"/>
      </bottom>
      <diagonal/>
    </border>
  </borders>
  <cellStyleXfs count="2">
    <xf numFmtId="0" fontId="0" fillId="0" borderId="0"/>
    <xf numFmtId="9" fontId="6" fillId="0" borderId="0" applyFont="0" applyFill="0" applyBorder="0" applyAlignment="0" applyProtection="0"/>
  </cellStyleXfs>
  <cellXfs count="46">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vertical="top"/>
    </xf>
    <xf numFmtId="0" fontId="2" fillId="0" borderId="0" xfId="0" applyFont="1" applyAlignment="1">
      <alignment wrapText="1"/>
    </xf>
    <xf numFmtId="0" fontId="2" fillId="0" borderId="0" xfId="0" applyFont="1" applyAlignment="1">
      <alignment horizontal="left" wrapText="1"/>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9" fontId="0" fillId="0" borderId="0" xfId="1" applyFont="1" applyAlignment="1">
      <alignment horizontal="center"/>
    </xf>
    <xf numFmtId="0" fontId="0" fillId="0" borderId="0" xfId="0" applyAlignment="1">
      <alignment horizontal="center" vertical="center"/>
    </xf>
    <xf numFmtId="9" fontId="0" fillId="0" borderId="0" xfId="1" applyFont="1" applyAlignment="1">
      <alignment horizontal="center" vertical="center"/>
    </xf>
    <xf numFmtId="0" fontId="7" fillId="0" borderId="0" xfId="0" applyFont="1" applyAlignment="1">
      <alignment horizontal="center" vertical="center"/>
    </xf>
    <xf numFmtId="0" fontId="8" fillId="0" borderId="0" xfId="0" applyFont="1"/>
    <xf numFmtId="0" fontId="8" fillId="0" borderId="0" xfId="0" applyFont="1" applyAlignment="1">
      <alignment horizontal="left"/>
    </xf>
    <xf numFmtId="0" fontId="7" fillId="0" borderId="0" xfId="0" applyFont="1"/>
    <xf numFmtId="0" fontId="8" fillId="0" borderId="2" xfId="0" applyFont="1" applyBorder="1" applyAlignment="1">
      <alignment wrapText="1"/>
    </xf>
    <xf numFmtId="0" fontId="8" fillId="3" borderId="2" xfId="0" applyFont="1" applyFill="1" applyBorder="1" applyAlignment="1">
      <alignment horizontal="right" wrapText="1"/>
    </xf>
    <xf numFmtId="0" fontId="8" fillId="4" borderId="2" xfId="0" applyFont="1" applyFill="1" applyBorder="1" applyAlignment="1">
      <alignment horizontal="right" wrapText="1"/>
    </xf>
    <xf numFmtId="0" fontId="8" fillId="5" borderId="2" xfId="0" applyFont="1" applyFill="1" applyBorder="1" applyAlignment="1">
      <alignment horizontal="right" wrapText="1"/>
    </xf>
    <xf numFmtId="0" fontId="8" fillId="0" borderId="2" xfId="0" applyFont="1" applyBorder="1" applyAlignment="1">
      <alignment horizontal="right" wrapText="1"/>
    </xf>
    <xf numFmtId="0" fontId="8" fillId="6" borderId="2" xfId="0" applyFont="1" applyFill="1" applyBorder="1" applyAlignment="1">
      <alignment horizontal="right" wrapText="1"/>
    </xf>
    <xf numFmtId="0" fontId="9" fillId="7" borderId="3" xfId="0" applyFont="1" applyFill="1" applyBorder="1" applyAlignment="1">
      <alignment vertical="top" wrapText="1"/>
    </xf>
    <xf numFmtId="0" fontId="10" fillId="7" borderId="3" xfId="0" applyFont="1" applyFill="1" applyBorder="1" applyAlignment="1">
      <alignment vertical="top" wrapText="1"/>
    </xf>
    <xf numFmtId="0" fontId="7" fillId="3" borderId="2" xfId="0" applyFont="1" applyFill="1" applyBorder="1" applyAlignment="1">
      <alignment horizontal="right" wrapText="1"/>
    </xf>
    <xf numFmtId="0" fontId="7" fillId="4" borderId="2" xfId="0" applyFont="1" applyFill="1" applyBorder="1" applyAlignment="1">
      <alignment horizontal="right" wrapText="1"/>
    </xf>
    <xf numFmtId="0" fontId="7" fillId="5" borderId="2" xfId="0" applyFont="1" applyFill="1" applyBorder="1" applyAlignment="1">
      <alignment horizontal="right" wrapText="1"/>
    </xf>
    <xf numFmtId="0" fontId="7" fillId="6" borderId="2" xfId="0" applyFont="1" applyFill="1" applyBorder="1" applyAlignment="1">
      <alignment horizontal="right" wrapText="1"/>
    </xf>
    <xf numFmtId="0" fontId="7" fillId="8" borderId="2" xfId="0" applyFont="1" applyFill="1" applyBorder="1" applyAlignment="1">
      <alignment horizontal="center" vertical="center" wrapText="1"/>
    </xf>
    <xf numFmtId="0" fontId="8" fillId="0" borderId="2" xfId="0" applyFont="1" applyBorder="1" applyAlignment="1">
      <alignment vertical="top" wrapText="1"/>
    </xf>
    <xf numFmtId="0" fontId="8" fillId="0" borderId="0" xfId="0" applyFont="1" applyAlignment="1">
      <alignment wrapText="1"/>
    </xf>
    <xf numFmtId="0" fontId="1" fillId="8" borderId="0" xfId="0" applyFont="1" applyFill="1" applyAlignment="1">
      <alignment vertical="center"/>
    </xf>
    <xf numFmtId="0" fontId="5" fillId="8" borderId="0" xfId="0" applyFont="1" applyFill="1"/>
    <xf numFmtId="0" fontId="0" fillId="8" borderId="0" xfId="0" applyFill="1"/>
    <xf numFmtId="0" fontId="11" fillId="0" borderId="0" xfId="0" applyFont="1" applyAlignment="1">
      <alignment horizontal="left"/>
    </xf>
    <xf numFmtId="0" fontId="2" fillId="0" borderId="0" xfId="0" applyFont="1" applyAlignment="1">
      <alignment horizontal="left" vertical="top" wrapText="1"/>
    </xf>
    <xf numFmtId="0" fontId="5" fillId="8" borderId="0" xfId="0" applyFont="1" applyFill="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6" fillId="0" borderId="2" xfId="0" applyFont="1" applyBorder="1" applyAlignment="1">
      <alignment vertical="top" wrapText="1"/>
    </xf>
  </cellXfs>
  <cellStyles count="2">
    <cellStyle name="Normal" xfId="0" builtinId="0"/>
    <cellStyle name="Percent" xfId="1" builtinId="5"/>
  </cellStyles>
  <dxfs count="27">
    <dxf>
      <alignment horizontal="center" readingOrder="0"/>
    </dxf>
    <dxf>
      <alignment horizontal="center" readingOrder="0"/>
    </dxf>
    <dxf>
      <numFmt numFmtId="16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5" formatCode="0.0000000000"/>
    </dxf>
    <dxf>
      <alignment horizontal="center" readingOrder="0"/>
    </dxf>
    <dxf>
      <alignment horizontal="center" readingOrder="0"/>
    </dxf>
    <dxf>
      <numFmt numFmtId="13" formatCode="0%"/>
    </dxf>
    <dxf>
      <numFmt numFmtId="16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5" formatCode="0.0000000000"/>
    </dxf>
    <dxf>
      <numFmt numFmtId="166" formatCode="0.00000000000"/>
    </dxf>
    <dxf>
      <numFmt numFmtId="165" formatCode="0.0000000000"/>
    </dxf>
  </dxfs>
  <tableStyles count="0" defaultTableStyle="TableStyleMedium2" defaultPivotStyle="PivotStyleLight16"/>
  <colors>
    <mruColors>
      <color rgb="FFA9DBB6"/>
      <color rgb="FFFFF0A7"/>
      <color rgb="FFFBB3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erapat Satitkanitkul" refreshedDate="46197.556615856483" createdVersion="6" refreshedVersion="6" minRefreshableVersion="3" recordCount="98" xr:uid="{00000000-000A-0000-FFFF-FFFF00000000}">
  <cacheSource type="worksheet">
    <worksheetSource ref="A1:T99" sheet="All Test Case Result"/>
  </cacheSource>
  <cacheFields count="20">
    <cacheField name="RAG Focus" numFmtId="0">
      <sharedItems count="2">
        <s v="คุณสู้"/>
        <s v="ปึกษาปัญหาหนี้ทั่วไป"/>
      </sharedItems>
    </cacheField>
    <cacheField name="Test Case ID" numFmtId="0">
      <sharedItems/>
    </cacheField>
    <cacheField name="Intent Group" numFmtId="0">
      <sharedItems count="9">
        <s v="Eligibility"/>
        <s v="Benefits"/>
        <s v="Consequence"/>
        <s v="Process"/>
        <s v="Assessment &amp; Consultation"/>
        <s v="Consolidation &amp; Optimization"/>
        <s v="Relief"/>
        <s v="Discovery"/>
        <s v="Out of Scope"/>
      </sharedItems>
    </cacheField>
    <cacheField name="Case Description" numFmtId="0">
      <sharedItems/>
    </cacheField>
    <cacheField name="User Message" numFmtId="0">
      <sharedItems/>
    </cacheField>
    <cacheField name="Expected Result" numFmtId="0">
      <sharedItems/>
    </cacheField>
    <cacheField name="Actual Result" numFmtId="0">
      <sharedItems longText="1"/>
    </cacheField>
    <cacheField name="Overall Score" numFmtId="0">
      <sharedItems containsSemiMixedTypes="0" containsString="0" containsNumber="1" containsInteger="1" minValue="1" maxValue="5"/>
    </cacheField>
    <cacheField name="is_pass" numFmtId="0">
      <sharedItems containsSemiMixedTypes="0" containsString="0" containsNumber="1" containsInteger="1" minValue="0" maxValue="1"/>
    </cacheField>
    <cacheField name="faithfulness_score" numFmtId="0">
      <sharedItems containsSemiMixedTypes="0" containsString="0" containsNumber="1" containsInteger="1" minValue="1" maxValue="5"/>
    </cacheField>
    <cacheField name="faithfulness_reason" numFmtId="0">
      <sharedItems longText="1"/>
    </cacheField>
    <cacheField name="relevance_score" numFmtId="0">
      <sharedItems containsSemiMixedTypes="0" containsString="0" containsNumber="1" containsInteger="1" minValue="1" maxValue="5"/>
    </cacheField>
    <cacheField name="relevance_reason" numFmtId="0">
      <sharedItems longText="1"/>
    </cacheField>
    <cacheField name="simplicity_score" numFmtId="0">
      <sharedItems containsSemiMixedTypes="0" containsString="0" containsNumber="1" containsInteger="1" minValue="3" maxValue="5"/>
    </cacheField>
    <cacheField name="simplicity_reason" numFmtId="0">
      <sharedItems/>
    </cacheField>
    <cacheField name="retrieved_text" numFmtId="0">
      <sharedItems longText="1"/>
    </cacheField>
    <cacheField name="retrieval_score" numFmtId="0">
      <sharedItems containsSemiMixedTypes="0" containsString="0" containsNumber="1" containsInteger="1" minValue="1" maxValue="5"/>
    </cacheField>
    <cacheField name="retrieve_reason" numFmtId="0">
      <sharedItems/>
    </cacheField>
    <cacheField name="overall_verdict" numFmtId="0">
      <sharedItems/>
    </cacheField>
    <cacheField name="improvement_suggestion"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8">
  <r>
    <x v="0"/>
    <s v="TC-001"/>
    <x v="0"/>
    <s v="ลูกหนี้มีสินเชื่อบ้าน วงเงินไม่เกิน 5 ล้าน ทำสัญญาก่อน 1 ม.ค. 67 และค้างชำระเกิน 30 วัน"/>
    <s v="ผ่อนบ้านมา 2 ปี ยอดกู้ 3.5 ล้าน ตอนนี้ตกงานค้างจ่ายมา 2 เดือนแล้ว กลัวโดนยึดบ้านมาก มีโครงการไหนช่วยลดค่างวดได้บ้าง"/>
    <s v="แจ้งว่าผ่านเกณฑ์มาตรการ &quot;จ่ายตรง คงทรัพย์&quot; แนะนำการลดค่างวดขั้นบันไดและพักดอกเบี้ย 3 ปี "/>
    <s v="สวัสดีค่ะ สำหรับกรณีสินเชื่อบ้านของคุณที่มีวงเงิน 3.5 ล้านบาท คุณสามารถพิจารณาเข้าร่วมโครงการ “คุณสู้ เราช่วย” ในมาตรการที่ 1 “จ่ายตรง คงทรัพย์” ได้ค่ะ_x000a__x000a_มาตรการนี้จะช่วยลดค่างวดและพักดอกเบี้ยให้เป็นเวลา 3 ปี โดยค่างวดที่ชำระจะนำไปตัดเงินต้นทั้งหมด เพื่อให้ปิดจบหนี้ได้เร็วขึ้นค่ะ_x000a__x000a_อย่างไรก็ตาม เนื่องจากมาตรการของผู้ให้บริการแต่ละแห่งมีเงื่อนไขที่แตกต่างกัน และคุณมีสถานะค้างชำระอยู่ แนะนำให้คุณตรวจสอบรายละเอียดและคุณสมบัติเพิ่มเติมกับทางธนาคารเจ้าของสินเชื่อโดยตรงก่อนลงทะเบียนนะคะ_x000a__x000a_หากต้องการสอบถามข้อมูลเพิ่มเติม สามารถติดต่อ Krungthai Contact Center 02 111 1111 กด 99 หรือ BOT Contact Center 1213 ได้ค่ะ_x000a__x000a__x000a_"/>
    <n v="5"/>
    <n v="1"/>
    <n v="5"/>
    <s v="บอทแนะนำมาตรการที่ 1 “จ่ายตรง คงทรัพย์” ซึ่งถูกต้องตามเอกสารสำหรับสินเชื่อบ้าน และระบุรูปแบบการให้ความช่วยเหลือ (ลดค่างวดและพักดอกเบี้ย 3 ปี โดยตัดเงินต้น) ได้ถูกต้องตาม Context การตอบแบบมีเงื่อนไข (ให้ตรวจสอบกับธนาคาร) ถือว่ายอมรับได้และไม่หักคะแนนตามหลัก Safety Over Rejection."/>
    <n v="5"/>
    <s v="บอทวิเคราะห์ข้อมูลลูกค้า (สินเชื่อบ้าน 3.5 ล้านบาท, ค้างชำระ 2 เดือน, ต้องการลดค่างวด) และแนะนำมาตรการที่ 1 “จ่ายตรง คงทรัพย์” ได้อย่างตรงประเด็นและเหมาะสมที่สุด ซึ่งมาตรการนี้ตรงกับความต้องการของลูกค้าในการลดค่างวดและรักษาทรัพย์สิน การตอบแบบมีเงื่อนไขถือว่ายอมรับได้และช่วยลดความเสี่ยง"/>
    <n v="5"/>
    <s v="ภาษาที่ใช้เป็นธรรมชาติ สั้นกระชับ และเข้าใจง่าย มีการจัดรูปแบบที่ดี ทำให้ลูกค้าอ่านและทำความเข้าใจได้ทันที"/>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 (khunsoo-v3p0.txt) เกี่ยวข้องโดยตรงกับโครงการ “คุณสู้ เราช่วย” และมาตรการที่ 1 “จ่ายตรง คงทรัพย์” ซึ่งเป็นข้อมูลที่จำเป็นในการตอบคำถามของลูกค้า"/>
    <s v="ผ่าน"/>
    <s v="บอทสามารถระบุเงื่อนไขที่ลูกค้าเข้าข่ายได้ชัดเจนขึ้น เช่น วงเงินสินเชื่อบ้านไม่เกิน 5 ล้านบาท และสถานะค้างชำระเกิน 30 วัน เพื่อให้ลูกค้าเห็นภาพรวมว่าตนเองมีคุณสมบัติเบื้องต้นตรงตามเกณฑ์ ก่อนที่จะแนะนำให้ติดต่อธนาคารเพื่อตรวจสอบรายละเอียดเพิ่มเติม"/>
  </r>
  <r>
    <x v="0"/>
    <s v="TC-002"/>
    <x v="0"/>
    <s v="ลูกหนี้มีสินเชื่อรถยนต์ แต่วงเงินกู้เกินกว่าที่มาตรการกำหนด (8 แสนบาท)"/>
    <s v="อยากเข้าโครงการที่ลดค่างวดครึ่งนึงค่ะ ผ่อนรถยนต์อยู่ ยอดกู้ 1.2 ล้าน ค้างมาเดือนนึงแล้ว"/>
    <s v="แจ้งว่าไม่ผ่านเกณฑ์ เนื่องจากวงเงินกู้รถยนต์ต้องไม่เกิน 8 แสนบาท"/>
    <s v="ขออภัยค่ะ สำหรับโครงการ “จ่ายตรง คงทรัพย์” (มาตรการที่ 1) ซึ่งมีมาตรการลดค่างวดนั้น มีเงื่อนไขกำหนดว่าสินเชื่อเช่าซื้อหรือจำนำทะเบียนรถยนต์จะต้องมีวงเงินรวมไม่เกิน 800,000 บาทค่ะ_x000a__x000a_เนื่องจากยอดกู้ของคุณลูกค้าอยู่ที่ 1.2 ล้านบาท จึงไม่เข้าเงื่อนไขของโครงการนี้ค่ะ หากต้องการสอบถามข้อมูลเพิ่มเติม สามารถติดต่อ Krungthai Contact Center 02 111 1111 กด 99 หรือ BOT Contact Center 1213 ได้นะคะ "/>
    <n v="5"/>
    <n v="1"/>
    <n v="5"/>
    <s v="บอทระบุชื่อมาตรการและเงื่อนไขวงเงินสินเชื่อรถยนต์ได้อย่างถูกต้องตามเอกสารอ้างอิงทุกประการ"/>
    <n v="5"/>
    <s v="บอทตอบตรงคำถามของลูกค้าและวิเคราะห์ข้อมูลวงเงินกู้ของลูกค้าเทียบกับเงื่อนไขของมาตรการได้อย่างถูกต้องแม่นยำ และฟันธงว่าไม่ผ่านเกณฑ์อย่างชัดเจน"/>
    <n v="5"/>
    <s v="บอทใช้ภาษาที่เข้าใจง่าย กระชับ และจัดรูปแบบการตอ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มาตรการที่ 1 และเงื่อนไขวงเงินสินเชื่อรถยนต์"/>
    <s v="ผ่าน"/>
    <s v="-"/>
  </r>
  <r>
    <x v="0"/>
    <s v="TC-003"/>
    <x v="0"/>
    <s v="ลูกหนี้มีสินเชื่อบ้านที่ทำสัญญาหลังวันที่ 1 ม.ค. 67 ซึ่งขัดกับเงื่อนไข Cut-off date"/>
    <s v="พิ่งกู้ซื้อคอนโด 3 ล้าน เมื่อกุมภาปี 67 ตอนนี้เริ่มผ่อนไม่ไหว ค้างมา 40 วันแล้ว เข้าคุณสู้ได้ไหม"/>
    <s v="แจ้งว่าไม่ผ่านเกณฑ์ เพราะต้องเป็นสัญญาที่ทำก่อนวันที่ 1 มกราคม 2567 เท่านั้น "/>
    <s v="สวัสดีค่ะ สำหรับสินเชื่อบ้านวงเงิน 3 ล้านบาท หากท่านมีสถานะค้างชำระเกิน 30 วัน และทำสัญญาก่อนวันที่ 1 มกราคม 2567 ท่านอาจเข้าเงื่อนไขมาตรการที่ 1 “จ่ายตรง คงทรัพย์” ค่ะ _x000a__x000a_อย่างไรก็ตาม มาตรการของผู้ให้บริการแต่ละแห่งมีเงื่อนไขที่แตกต่างกัน รบกวนท่านศึกษารายละเอียดและติดต่อสถาบันการเงินของท่านโดยตรง หรือสอบถามเพิ่มเติมที่ Krungthai Contact Center 02 111 1111 กด 99 หรือ BOT Contact Center 1213 ค่ะ"/>
    <n v="3"/>
    <n v="1"/>
    <n v="3"/>
    <s v="บอทระบุเงื่อนไขที่ถูกต้องตามเอกสารทุกประการ โดยเฉพาะเงื่อนไขวันที่ทำสัญญาที่สำคัญ ซึ่งเป็นไปตามหลักการ Safe Response ที่กางเกณฑ์ให้ลูกค้าตรวจสอบเอง"/>
    <n v="3"/>
    <s v="บอทเลือกที่จะไม่ฟันธงปฏิเสธลูกค้าโดยตรง แต่ใช้วิธีทวนเงื่อนไขสำคัญที่ถูกต้องเพื่อให้ลูกค้าพิจารณาตนเอง ซึ่งยอมรับได้ตามเกณฑ์ Safety Over Rejection"/>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และมาตรการที่ 1 “จ่ายตรง คงทรัพย์”"/>
    <s v="ผ่าน"/>
    <s v="บอทสามารถปรับปรุงให้คำตอบมีความตรงประเด็นมากขึ้นโดยการชี้แจงเงื่อนไขที่ลูกค้าไม่ผ่านเกณฑ์โดยตรง (เช่น วันที่ทำสัญญา) ในขณะที่ยังคงให้ข้อมูลเงื่อนไขอื่นๆ ที่ถูกต้องครบถ้วน เพื่อให้ลูกค้าเข้าใจสถานะของตนเองได้ชัดเจนยิ่งขึ้น"/>
  </r>
  <r>
    <x v="0"/>
    <s v="TC-004"/>
    <x v="0"/>
    <s v="ลูกหนี้สอบถามถึงหนี้สหกรณ์ซึ่งเป็นประเภทหนี้ที่ไม่เข้าร่วมมาตรการ"/>
    <s v="เป็นหนี้สหกรณ์ออมทรัพย์ครูอยู่ 3 แสน ผ่อนไม่ไหวแล้ว อยากขอพักดอกเบี้ย 3 ปีตามข่าวค่ะ"/>
    <s v="แจ้งว่าไม่ผ่านเกณฑ์ เนื่องจากหนี้สหกรณ์ไม่สามารถเข้าร่วมโครงการได้"/>
    <s v="สวัสดีค่ะ ต้องขออภัยด้วยนะคะ ข้อมูลโครงการ “คุณสู้ เราช่วย” ที่ระบุไว้ในเอกสารจะครอบคลุมเฉพาะลูกหนี้ของธนาคารพาณิชย์ สถาบันการเงินเฉพาะกิจ และผู้ประกอบธุรกิจ Non-Bank เท่านั้นค่ะ_x000a__x000a_สำหรับหนี้สหกรณ์ออมทรัพย์ครู ไม่ได้อยู่ในเงื่อนไขของโครงการนี้ค่ะ หากต้องการสอบถามข้อมูลเพิ่มเติม แนะนำให้ติดต่อ Krungthai Contact Center 02 111 1111 กด 99 หรือ BOT Contact Center 1213 นะคะ "/>
    <n v="5"/>
    <n v="1"/>
    <n v="5"/>
    <s v="บอทตอบถูกต้องตามเอกสารที่ระบุว่าโครงการครอบคลุมลูกหนี้ประเภทใดบ้าง และระบุได้ถูกต้องว่าหนี้สหกรณ์ออมทรัพย์ครูไม่อยู่ในเงื่อนไข"/>
    <n v="5"/>
    <s v="บอทตอบตรงประเด็นและฟันธงได้ถูกต้องว่าหนี้สหกรณ์ออมทรัพย์ครูไม่สามารถเข้าร่วมโครงการได้ พร้อมทั้งให้ช่องทางการติดต่อเพิ่มเติม"/>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ส่วนที่ระบุขอบเขตของโครงการ “คุณสู้ เราช่วย” มาใช้ได้อย่างถูกต้องและตรงประเด็น"/>
    <s v="ผ่าน"/>
    <s v="ไม่มีคำแนะนำเพิ่มเติม เนื่องจากคำตอบมีความถูกต้อง ชัดเจน และตรงประเด็น"/>
  </r>
  <r>
    <x v="0"/>
    <s v="TC-005"/>
    <x v="0"/>
    <s v="ลูกหนี้มีสินเชื่อรถจักรยานยนต์ วงเงินไม่เกิน 5 หมื่นบาท และมีสถานะค้างชำระตามเกณฑ์"/>
    <s v="ผ่อนมอเตอร์ไซค์ ยอดกู้ 4 หมื่น ทำสัญญาปี 66 ค้างจ่ายมา 2 เดือน อยากเข้าโครงการลดค่างวดต้องทำไง"/>
    <s v="แจ้งว่าผ่านเกณฑ์มาตรการ &quot;จ่ายตรง คงทรัพย์&quot; พร้อมระบุรูปแบบการช่วยเหลือ "/>
    <s v="สวัสดีค่ะ สำหรับการเข้าร่วมโครงการลดค่างวดสินเชื่อเช่าซื้อรถจักรยานยนต์ คุณสามารถตรวจสอบมาตรการที่ 1 “จ่ายตรง คงทรัพย์” ได้ค่ะ_x000a__x000a_โดยมีเงื่อนไขเบื้องต้นคือ ต้องเป็นสินเชื่อที่ทำสัญญาก่อนวันที่ 1 มกราคม 2567 และมีวงเงินรวมไม่เกิน 5 หมื่นบาทค่ะ _x000a__x000a_อย่างไรก็ตาม มาตรการของผู้ให้บริการแต่ละแห่งมีเงื่อนไขที่แตกต่างกัน โปรดศึกษารายละเอียดและคุณสมบัติก่อนลงทะเบียนนะคะ _x000a__x000a_หากต้องการสอบถามข้อมูลเพิ่มเติม สามารถติดต่อ Krungthai Contact Center 02 111 1111 กด 99 หรือ BOT Contact Center 1213 ค่ะ"/>
    <n v="3"/>
    <n v="1"/>
    <n v="5"/>
    <s v="บอทระบุมาตรการและเงื่อนไขที่ถูกต้องตามเอกสารทุกประการ รวมถึงการตอบแบบกางเงื่อนไขเพื่อให้ลูกค้าตรวจสอบเองถือว่าถูกต้องตามหลักการ Safe Response"/>
    <n v="3"/>
    <s v="บอทระบุมาตรการที่ตรงกับคำถามและกางเงื่อนไขที่เกี่ยวข้องให้ลูกค้าพิจารณา ซึ่งยอมรับได้ตามหลักการ Safety Over Rejection แม้จะไม่ได้ฟันธงว่าลูกค้าผ่านเกณฑ์โดยตรงตาม Expected Output"/>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มาตรการที่ 1 “จ่ายตรง คงทรัพย์” ซึ่งเป็นมาตรการที่ลูกค้าสอบถามถึง"/>
    <s v="ผ่าน"/>
    <s v="บอทสามารถระบุได้ชัดเจนขึ้นว่าจากข้อมูลที่ลูกค้าให้มา ลูกค้ามีคุณสมบัติเบื้องต้นในการเข้าร่วมมาตรการนี้ได้เลย เพื่อให้คำตอบตรงกับ Expected Output มากขึ้น แต่ยังคงต้องมีข้อความให้ตรวจสอบกับผู้ให้บริการอีกครั้ง"/>
  </r>
  <r>
    <x v="0"/>
    <s v="TC-006"/>
    <x v="0"/>
    <s v="ทดสอบความเข้าใจเรื่อง การรวมหนี้ (Debt Consolidation) ภายใต้มาตรการที่ 1"/>
    <s v="เข้าโครงการบ้านแล้ว จะเอาหนี้บัตรเครดิตมารวมด้วยได้ไหมคะ"/>
    <s v="แจ้งว่าทำได้ หากมีหนี้บ้านหรือรถที่เข้าเกณฑ์อยู่แล้ว สามารถพิจารณารวมหนี้บัตรเครดิต/สินเชื่อส่วนบุคคลได้ภายใต้วงเงินที่กำหนด "/>
    <s v="สำหรับการรวมหนี้บัตรเครดิตเข้ากับหนี้บ้านภายใต้โครงการ “คุณสู้ เราช่วย” มาตรการที่ 1 “จ่ายตรง คงทรัพย์” นั้น หากท่านมีหนี้บ้านที่เข้าเงื่อนไข สามารถพิจารณาเข้าร่วมมาตรการรวมหนี้ได้ โดยขึ้นอยู่กับระดับความเสี่ยงที่สถาบันการเงินรับได้และวงเงินรวมต้องไม่เกินที่กำหนดค่ะ_x000a__x000a__x000a__x000a_ทั้งนี้ มาตรการของผู้ให้บริการแต่ละแห่งมีเงื่อนไขที่แตกต่างกัน โปรดศึกษารายละเอียดและเงื่อนไขก่อนลงทะเบียน หรือติดต่อ Krungthai Contact Center 02 111 1111 กด 99 หรือ BOT Contact Center 1213 ค่ะ_x000a__x000a_"/>
    <n v="5"/>
    <n v="1"/>
    <n v="5"/>
    <s v="ข้อมูลที่บอทให้ถูกต้อง 100% ตามเอกสารอ้างอิง โดยเฉพาะประเด็นการรวมหนี้บัตรเครดิตกับหนี้บ้านภายใต้มาตรการที่ 1"/>
    <n v="5"/>
    <s v="บอทตอบตรงคำถามของลูกค้าและให้ข้อมูลที่ถูกต้องครบถ้วนตามเงื่อนไขที่ระบุในเอกสาร โดยไม่ฟันธงแต่กางเงื่อนไขให้ลูกค้าพิจารณา ซึ่งเป็นไปตามหลักการ Safe Response"/>
    <n v="5"/>
    <s v="ภาษาที่ใช้เป็นธรรมชาติ เข้าใจง่าย และกระชับ"/>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 โดยเฉพาะส่วนของมาตรการที่ 1 ที่กล่าวถึงการรวมหนี้บัตรเครดิตกับหนี้บ้าน"/>
    <s v="ผ่าน"/>
    <s v="ไม่มีคำแนะนำเพิ่มเติม เนื่องจากคำตอบถูกต้องและครบถ้วนตามหลักการ"/>
  </r>
  <r>
    <x v="0"/>
    <s v="TC-007"/>
    <x v="0"/>
    <s v="ทดสอบเงื่อนไข ข้อห้ามก่อหนี้ใหม่ ภายใน 12 เดือนแรก"/>
    <s v="เข้าโครงการมา 5 เดือนแล้ว อยากผ่อนมือถือเครื่องใหม่ ทำได้ไหม"/>
    <s v="แจ้งว่าไม่ได้ เพราะเงื่อนไขห้ามทำสัญญาสินเชื่ออุปโภคบริโภคใหม่ใน 12 เดือนแรก หากทำจะถือว่าผิดเงื่อนไขและต้องออกจากมาตรการ"/>
    <s v="สวัสดีค่ะ สำหรับการผ่อนชำระสินค้าใหม่ เช่น โทรศัพท์มือถือ หากท่านเข้าร่วมมาตรการภายใต้โครงการ “คุณสู้ เราช่วย” จะมีเงื่อนไขระบุไว้ว่า ลูกหนี้จะไม่สามารถทำสัญญาสินเชื่ออุปโภคบริโภคใหม่ได้ในช่วง 12 เดือนแรกหลังเข้าร่วมมาตรการค่ะ  "/>
    <n v="5"/>
    <n v="1"/>
    <n v="5"/>
    <s v="บอทตอบถูกต้องตามเงื่อนไขที่ระบุในเอกสารอ้างอิงว่าลูกหนี้จะไม่สามารถทำสัญญาสินเชื่ออุปโภคบริโภคใหม่ได้ในช่วง 12 เดือนแรกหลังเข้าร่วมมาตรการ ซึ่งเป็นเงื่อนไขที่พบในมาตรการที่ 1 และ 3"/>
    <n v="5"/>
    <s v="บอทตอบตรงประเด็นคำถามของลูกค้า โดยการกางเงื่อนไขที่ถูกต้องและสำคัญ ทำให้ลูกค้าสามารถพิจารณาได้ด้วยตนเองว่าไม่สามารถผ่อนมือถือเครื่องใหม่ได้ เนื่องจากยังอยู่ในช่วง 5 เดือนแรกของการเข้าร่วมโครงการ ซึ่งไม่เกิน 12 เดือนตามเงื่อนไขที่ห้ามก่อหนี้ใหม่ ถือเป็นการตอบแบบ Safe Response ที่ยอมรับได้"/>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และเงื่อนไขของโครงการ &quot;คุณสู้ เราช่วย&quot; โดยเฉพาะเงื่อนไขการห้ามก่อหนี้ใหม่ใน 12 เดือนแรก"/>
    <s v="ผ่าน"/>
    <s v="ไม่มี"/>
  </r>
  <r>
    <x v="0"/>
    <s v="TC-008"/>
    <x v="0"/>
    <s v="ลูกหนี้บุคคลธรรมดาทุกประเภท ที่มีหนี้เสียยอดไม่เกิน 5,000 บาทต่อบัญชี"/>
    <s v="มีหนี้ค้างอยู่ 4,500 บาท เป็นหนี้เสียมานานแล้ว เห็นว่ามีมาตรการช่วยปิดจบยอดน้อยๆ อันนี้สมัครได้ไหม"/>
    <s v="ผ่านเกณฑ์ เนื่องจากเป็นลูกหนี้บุคคลธรรมดาที่มีสถานะหนี้เสีย (NPL) ณ 31 ต.ค. 67 และมียอดหนี้ไม่เกิน 5,000 บาทต่อบัญชี"/>
    <s v="สวัสดีค่ะ สำหรับยอดหนี้ 4,500 บาท หากท่านมีสถานะเป็นหนี้เสีย (NPL) ณ วันที่ 31 ตุลาคม 2567 ท่านอาจเข้าเงื่อนไขมาตรการที่ 2 “จ่าย ปิด จบ” ซึ่งรองรับสินเชื่อทุกประเภทที่มีภาระหนี้ไม่เกิน 5,000 บาทต่อบัญชีค่ะ_x000a__x000a__x000a__x000a_ทั้งนี้ มาตรการของผู้ให้บริการแต่ละแห่งมีเงื่อนไขที่แตกต่างกัน รบกวนท่านศึกษารายละเอียดและคุณสมบัติเพิ่มเติมก่อนลงทะเบียนนะคะ_x000a__x000a_"/>
    <n v="5"/>
    <n v="1"/>
    <n v="5"/>
    <s v="บอทระบุเงื่อนไขของมาตรการที่ 2 “จ่าย ปิด จบ” ได้ถูกต้องตามเอกสารทุกประการ ทั้งเรื่องสถานะหนี้เสีย (NPL) ณ วันที่ 31 ตุลาคม 2567 และยอดหนี้ไม่เกิน 5,000 บาทต่อบัญชี การตอบแบบกางเงื่อนไขถือว่าถูกต้องและปลอดภัย"/>
    <n v="5"/>
    <s v="บอทตอบตรงคำถามของลูกค้าที่สอบถามถึงมาตรการช่วยปิดจบยอดน้อยๆ และวิเคราะห์ข้อมูลลูกค้า (หนี้ 4,500 บาท) ได้อย่างถูกต้องว่าอาจเข้าข่ายมาตรการที่ 2 โดยการกางเงื่อนไขให้ลูกค้าพิจารณาเองถือว่าเหมาะสมและลดความเสี่ยง"/>
    <n v="5"/>
    <s v="ภาษาที่ใช้เป็นธรรมชาติ สั้นกระชับ และเข้าใจง่าย มีการจัดรูปแบบที่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และมาตรการที่บอทแนะนำ"/>
    <s v="ผ่าน"/>
    <s v="คำตอบดีมาก ไม่จำเป็นต้องปรับปรุง"/>
  </r>
  <r>
    <x v="0"/>
    <s v="TC-009"/>
    <x v="0"/>
    <s v="ลูกหนี้หนี้เสียไม่มีหลักประกัน (บัตรเครดิต) ที่มียอดหนี้ไม่เกิน 10,000 บาท"/>
    <s v="บัตรเครดิตมียอดค้าง 8,500 บาท ไม่ได้จ่ายมาเกือบปีแล้ว อยากขอปิดบัญชีให้จบๆ ไป มีส่วนลดให้ไหม"/>
    <s v="ผ่านเกณฑ์ มาตรการ &quot;จ่าย ปิด จบ&quot; สำหรับสินเชื่อไม่มีหลักประกัน โดยมียอดหนี้ไม่เกิน 10,000 บาท และเป็นหนี้เสีย (NPL) เกิน 90 วัน"/>
    <s v="สวัสดีค่ะ สำหรับยอดหนี้บัตรเครดิต 8,500 บาท หากท่านต้องการปิดบัญชี ทางโครงการ “คุณสู้ เราช่วย” มีมาตรการที่ 3 “จ่าย ตัด ต้น” สำหรับสินเชื่อไม่มีหลักประกันที่มียอดหนี้ไม่เกิน 50,000 บาทต่อบัญชี โดยสามารถตกลงกับเจ้าหนี้เพื่อชำระค่างวดและปิดจบหนี้ได้เร็วขึ้นค่ะ _x000a__x000a_ทั้งนี้ มาตรการของผู้ให้บริการแต่ละแห่งมีเงื่อนไขแตกต่างกัน แนะนำให้ท่านศึกษารายละเอียดและติดต่อสถาบันการเงินเจ้าของบัตรโดยตรง หรือสอบถามข้อมูลเพิ่มเติมได้ที่ Krungthai Contact Center 02 111 1111 กด 99 หรือ BOT Contact Center 1213 ค่ะ "/>
    <n v="3"/>
    <n v="1"/>
    <n v="5"/>
    <s v="บอทให้ข้อมูลเงื่อนไขของมาตรการที่ 3 ได้ถูกต้องตามเอกสารทุกประการ แม้ว่าจะไม่ใช่มาตรการที่ตรงกับความต้องการของลูกค้ามากที่สุด แต่ข้อมูลที่ให้มานั้นถูกต้อง"/>
    <n v="3"/>
    <s v="บอทเลือกมาตรการที่ 3 ซึ่งเป็นมาตรการที่สามารถนำไปสู่การปิดบัญชีได้ แต่มาตรการที่ 2 &quot;จ่าย ปิด จบ&quot; จะตรงกับความต้องการของลูกค้าที่ต้องการ &quot;ปิดบัญชีให้จบๆ ไป มีส่วนลดให้ไหม&quot; มากกว่า อย่างไรก็ตาม บอทไม่ได้ให้ข้อมูลที่ผิดพลาดและแนะนำให้ติดต่อสถาบันการเงิน ซึ่งถือเป็น Safe Response"/>
    <n v="5"/>
    <s v="ภาษาที่ใช้เป็นธรรมชาติ สั้นกระชับ และจัดรูปแบบได้ดี ทำให้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 Context ที่เกี่ยวข้องโดยตรงกับโครงการ &quot;คุณสู้ เราช่วย&quot; และมาตรการที่ 3 มาใช้ได้อย่างถูกต้อง"/>
    <s v="ผ่าน"/>
    <s v="ควรพิจารณาแนะนำมาตรการที่ 2 “จ่าย ปิด จบ” ก่อน เนื่องจากตรงกับความต้องการของลูกค้าที่ต้องการ &quot;ปิดบัญชีให้จบๆ ไป มีส่วนลดให้ไหม&quot; มากกว่ามาตรการที่ 3"/>
  </r>
  <r>
    <x v="0"/>
    <s v="TC-010"/>
    <x v="0"/>
    <s v="ลูกหนี้หนี้มีหลักประกันที่ถูกบังคับทรัพย์แล้วและมียอดหนี้เหลือไม่เกิน 30,000 บาท"/>
    <s v="รถมอเตอร์ไซค์โดนยึดไปแล้ว แต่ยังมีหนี้ค้างอยู่อีก 25,000 บาท จะขอเข้าโครงการเพื่อล้างหนี้ที่เหลือได้ไหม"/>
    <s v="ผ่านเกณฑ์ มาตรการ &quot;จ่าย ปิด จบ&quot; สำหรับสินเชื่อที่มีหลักประกันซึ่งถูกบังคับหลักประกันแล้ว โดยมียอดหนี้คงเหลือไม่เกิน 30,000 บาท "/>
    <s v="สวัสดีค่ะ สำหรับกรณีที่รถมอเตอร์ไซค์ถูกยึดไปแล้วและมียอดหนี้คงเหลือ 25,000 บาท หากท่านต้องการทราบว่าสามารถเข้าร่วมโครงการเพื่อล้างหนี้ได้หรือไม่ ท่านสามารถตรวจสอบเงื่อนไขของ &quot;มาตรการที่ 2 จ่าย ปิด จบ&quot; ได้ค่ะ_x000a__x000a_โดยมาตรการนี้รองรับสินเชื่อที่มีหลักประกัน (เช่าซื้อ/จำนำทะเบียนรถจักรยานยนต์) ที่มียอดหนี้ไม่เกิน 30,000 บาทต่อบัญชี แต่มีเงื่อนไขสำคัญคือต้องเป็นกรณีที่ &quot;บังคับหลักประกันแล้วและไม่สามารถติดตามทรัพย์ได้&quot; เท่านั้นค่ะ _x000a__x000a_หากท่านไม่แน่ใจว่ากรณีของท่านเข้าเงื่อนไขหรือไม่ หรือต้องการสอบถามรายละเอียดเพิ่มเติม แนะนำให้ติดต่อ Krungthai Contact Center 02 111 1111 กด 99 หรือ BOT Contact Center 1213 โดยตรงนะคะ"/>
    <n v="3"/>
    <n v="1"/>
    <n v="5"/>
    <s v="บอทระบุเงื่อนไขของมาตรการ &quot;จ่าย ปิด จบ&quot; ได้ถูกต้องตามเอกสารทุกประการ ทั้งเรื่องยอดหนี้และเงื่อนไข &quot;บังคับหลักประกันแล้วและไม่สามารถติดตามทรัพย์ได้&quot; การตอบแบบกางเงื่อนไขให้ลูกค้าตรวจสอบเองถือว่าถูกต้องตามหลักการ Safe Response."/>
    <n v="3"/>
    <s v="บอทตอบตรงประเด็นโดยแนะนำมาตรการที่เกี่ยวข้องกับสถานการณ์ของลูกค้า (รถถูกยึดและมีหนี้ค้าง) และกางเงื่อนไขที่ถูกต้องให้ลูกค้าพิจารณา ซึ่งถือว่ายอมรับได้ตามหลักการ &quot;Safety Over Rejection&quot; แม้จะไม่ได้ฟันธงว่า &quot;ผ่านเกณฑ์&quot; โดยตรงเหมือน Expected Output."/>
    <n v="5"/>
    <s v="ภาษาที่ใช้เป็นธรรมชาติ เข้าใจง่าย และจัดรูปแบบการนำเสนอข้อมูลได้ดี ทำให้ลูกค้าอ่านแล้วเข้าใจได้ทันที"/>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 &quot;มาตรการที่ 2 จ่าย ปิด จบ&quot; ซึ่งเป็นมาตรการที่เหมาะสมกับคำถามของลูกค้า"/>
    <s v="ผ่าน"/>
    <s v="คำตอบของบอทดีอยู่แล้วตามหลักการ &quot;Safety Over Rejection&quot; หากต้องการให้ฟันธงมากขึ้น อาจเพิ่มประโยคสรุปสั้นๆ ว่า &quot;จากข้อมูลที่คุณให้มา คุณอาจเข้าข่ายมาตรการนี้ได้ หากเป็นไปตามเงื่อนไข...&quot; ก่อนลิสต์เงื่อนไข แต่ปัจจุบันก็ถือว่ายอมรับได้แล้ว"/>
  </r>
  <r>
    <x v="0"/>
    <s v="TC-011"/>
    <x v="0"/>
    <s v="ลูกหนี้หนี้ไม่มีหลักประกัน แต่ยอดหนี้เกินเพดานที่กำหนด (10,000 บาท)"/>
    <s v="มีหนี้บัตรเครดิตที่เป็นหนี้เสียอยู่ 15,000 บาท อยากจ่ายแค่บางส่วนเพื่อปิดจบโครงการเฟส 2 ทำได้ไหม"/>
    <s v="ไม่ผ่านเกณฑ์ ของมาตรการ &quot;จ่าย ปิด จบ&quot; เนื่องจากยอดหนี้สินเชื่อไม่มีหลักประกันต้องไม่เกิน 10,000 บาทต่อบัญชี"/>
    <s v="สวัสดีค่ะ สำหรับมาตรการ &quot;จ่าย ปิด จบ&quot; (มาตรการที่ 2) ซึ่งรองรับการชำระหนี้บางส่วนเพื่อปิดจบหนี้ได้นั้น มีเงื่อนไขสำหรับสินเชื่อที่ไม่มีหลักประกันว่าต้องมีภาระหนี้ไม่เกิน 10,000 บาทต่อบัญชีค่ะ_x000a__x000a_เนื่องจากยอดหนี้ของคุณอยู่ที่ 15,000 บาท จึงไม่เข้าเงื่อนไขของมาตรการนี้ค่ะ _x000a__x000a_หากต้องการสอบถามข้อมูลเพิ่มเติม สามารถติดต่อ Krungthai Contact Center 02 111 1111 กด 99 หรือ BOT Contact Center 1213 ได้เลยนะคะ"/>
    <n v="5"/>
    <n v="1"/>
    <n v="5"/>
    <s v="บอทระบุเงื่อนไขของมาตรการ &quot;จ่าย ปิด จบ&quot; สำหรับสินเชื่อไม่มีหลักประกันว่าต้องมีภาระหนี้ไม่เกิน 10,000 บาทต่อบัญชี ซึ่งถูกต้องตามเอกสารอ้างอิง"/>
    <n v="5"/>
    <s v="บอทตอบตรงคำถามของลูกค้า โดยวิเคราะห์ข้อมูลหนี้ของลูกค้า (15,000 บาท) และฟันธงได้อย่างถูกต้องว่าไม่เข้าเงื่อนไขของมาตรการที่ลูกค้าสอบถาม"/>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มาตรการที่ 2 &quot;จ่าย ปิด จบ&quot; ซึ่งเกี่ยวข้องโดยตรงกับคำถามของลูกค้าเรื่องการจ่ายบางส่วนเพื่อปิดจบหนี้"/>
    <s v="ผ่าน"/>
    <s v="-"/>
  </r>
  <r>
    <x v="0"/>
    <s v="TC-012"/>
    <x v="0"/>
    <s v="ลูกหนี้มียอดหนี้ต่ำตามเกณฑ์ แต่สถานะหนี้ยังไม่ถึงขั้นหนี้เสีย (NPL 90 วัน)"/>
    <s v="ยอดหนี้เหลือแค่ 3,000 บาทเอง แต่เพิ่งค้างมาได้ 2 เดือน จะขอปิดจบแบบมีส่วนลดโครงการคุณสู้ได้ไหมคะ"/>
    <s v="ไม่ผ่านเกณฑ์ เนื่องจากมาตรการ &quot;จ่าย ปิด จบ&quot; กำหนดว่าต้องมีสถานะเป็นหนี้เสีย (NPL) หรือค้างชำระเกินกว่า 90 วัน ณ 31 ตุลาคม 2567 "/>
    <s v="ขออภัยค่ะ คุณลูกค้าไม่สามารถเข้าร่วมมาตรการ “จ่าย ปิด จบ” ได้ เนื่องจากเงื่อนไขกำหนดว่าลูกหนี้ต้องมีสถานะเป็นหนี้เสีย (NPL) หรือค้างชำระเกินกว่า 90 วัน ณ วันที่ 31 ตุลาคม 2567 ค่ะ _x000a__x000a_หากมีข้อสงสัยเพิ่มเติม สามารถติดต่อ Krungthai Contact Center 02 111 1111 กด 99 หรือ BOT Contact Center 1213 ค่ะ"/>
    <n v="5"/>
    <n v="1"/>
    <n v="5"/>
    <s v="บอทระบุเงื่อนไขการเข้าร่วมมาตรการ &quot;จ่าย ปิด จบ&quot; ได้ถูกต้อง 100% ตามเอกสารอ้างอิง โดยเฉพาะเรื่องสถานะหนี้เสีย (NPL) หรือค้างชำระเกินกว่า 90 วัน ณ วันที่ 31 ตุลาคม 2567"/>
    <n v="5"/>
    <s v="บอทตอบตรงคำถามของลูกค้าและวิเคราะห์ข้อมูลที่ลูกค้าให้มา (ค้างชำระ 2 เดือน) ได้อย่างถูกต้องแม่นยำ โดยฟันธงว่าไม่ผ่านเกณฑ์ตามเงื่อนไขที่ระบุในเอกสาร"/>
    <n v="5"/>
    <s v="คำตอบกระชับ ชัดเจน และเข้าใจง่าย ไม่มีการใช้ภาษาที่ซับซ้อนหรือวนไปมา"/>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และมาตรการ &quot;จ่าย ปิด จบ&quot; ที่ลูกค้าสอบถามถึง"/>
    <s v="ผ่าน"/>
    <s v="ไม่มีคำแนะนำเพิ่มเติม เนื่องจากคำตอบถูกต้อง ชัดเจน และตรงประเด็น"/>
  </r>
  <r>
    <x v="0"/>
    <s v="TC-013"/>
    <x v="0"/>
    <s v="ลูกหนี้บุคคลธรรมดามีหนี้เสียบัตรเครดิต ยอดหนี้ไม่เกิน 50,000 บาท และเป็นสัญญาเก่า"/>
    <s v="มีหนี้บัตรเครดิตอยู่ 4 หมื่น เป็นหนี้เสียมาปีกว่าแล้ว อยากเข้าโครงการที่ให้ผ่อนเดือนละ 2% แล้วตัดต้นล้วนๆ ต้องทำยังไง"/>
    <s v="านเกณฑ์ มาตรการ &quot;จ่าย ตัด ต้น&quot; เนื่องจากเป็นหนี้เสีย (NPL) ณ 31 ต.ค. 67 ยอดหนี้ไม่เกิน 50,000 บาท และทำสัญญาก่อน 1 ม.ค. 67 "/>
    <s v="สวัสดีค่ะ สำหรับโครงการ “คุณสู้ เราช่วย” มาตรการที่ 3 “จ่าย ตัด ต้น” รองรับสินเชื่อไม่มีหลักประกัน (เช่น บัตรเครดิต) ที่มียอดหนี้ไม่เกิน 50,000 บาทต่อบัญชี และมีสถานะเป็นหนี้เสีย (NPL) ณ วันที่ 31 ตุลาคม 2567 โดยมีเงื่อนไขการผ่อนชำระ 2% ของเงินต้นคงค้างค่ะ _x000a__x000a_ทั้งนี้ มาตรการของผู้ให้บริการแต่ละแห่งมีเงื่อนไขที่แตกต่างกัน รบกวนคุณลูกค้าศึกษารายละเอียดและติดต่อสถาบันการเงินเจ้าของสินเชื่อโดยตรงเพื่อลงทะเบียนค่ะ "/>
    <n v="3"/>
    <n v="1"/>
    <n v="5"/>
    <s v="บอทระบุเงื่อนไขของมาตรการ &quot;จ่าย ตัด ต้น&quot; ได้ถูกต้องตามเอกสารทุกประการ รวมถึงการระบุประเภทสินเชื่อ ยอดหนี้ และสถานะหนี้เสีย ณ วันที่ 31 ตุลาคม 2567 และรูปแบบการผ่อนชำระ 2% ซึ่งถือเป็นการตอบแบบ Safe Response ที่กางเงื่อนไขให้ลูกค้าตรวจสอบตนเอง"/>
    <n v="3"/>
    <s v="บอทตอบตรงประเด็นคำถามของลูกค้าเกี่ยวกับมาตรการที่ต้องการ แต่เลือกที่จะไม่ฟันธงว่าลูกค้าผ่านเกณฑ์โดยตรง แต่ใช้วิธีทวนเงื่อนไขสำคัญที่ถูกต้องเพื่อให้ลูกค้าพิจารณาตนเอง ซึ่งยอมรับได้ตามหลัก &quot;Safety Over Rejection&quot;"/>
    <n v="5"/>
    <s v="ภาษาที่ใช้เป็นธรรมชาติ สั้นกระชับ และเข้าใจง่าย มีการจัดรูปแบบที่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 &quot;จ่าย ตัด ต้น&quot;"/>
    <s v="ผ่าน"/>
    <s v="บอทสามารถเพิ่มเงื่อนไขเรื่อง &quot;สัญญาสินเชื่อทำก่อนวันที่ 1 มกราคม 2567&quot; เพื่อให้ข้อมูลครบถ้วนยิ่งขึ้น แม้ว่าลูกค้าจะไม่ได้ระบุข้อมูลนี้ในคำถามก็ตาม"/>
  </r>
  <r>
    <x v="0"/>
    <s v="TC-014"/>
    <x v="0"/>
    <s v="ลูกหนี้มีหนี้เสียบัตรกดเงินสด แต่มียอดหนี้เกินเพดานที่มาตรการกำหนด (50,000 บาท)"/>
    <s v="บัตรกดเงินสดยอดค้าง 6 หมื่น เป็นหนี้เสียมานานแล้ว จะขอเข้าโครงการคุณสู้ที่พักดอกเบี้ย 3 ปีได้ไหม"/>
    <s v="ไม่ผ่านเกณฑ์ เนื่องจากมาตรการ &quot;จ่าย ตัด ต้น&quot; กำหนดเพดานยอดหนี้ไม่เกิน 50,000 บาทต่อบัญชี"/>
    <s v="สวัสดีค่ะ ขออภัยด้วยนะคะ สำหรับมาตรการที่ 3 “จ่าย ตัด ต้น” ซึ่งเป็นมาตรการสำหรับหนี้เสียสินเชื่อไม่มีหลักประกัน (เช่น บัตรกดเงินสด) นั้น มีเงื่อนไขกำหนดว่ายอดหนี้ต้องไม่เกิน 50,000 บาทต่อบัญชีค่ะ_x000a__x000a_ดังนั้น หากมียอดหนี้ 60,000 บาท จะไม่เข้าเงื่อนไขของมาตรการนี้ค่ะ _x000a__x000a_หากต้องการสอบถามข้อมูลเพิ่มเติม สามารถติดต่อ Krungthai Contact Center 02 111 1111 กด 99 หรือ BOT Contact Center 1213 ได้โดยตรงนะคะ"/>
    <n v="5"/>
    <n v="1"/>
    <n v="5"/>
    <s v="บอทระบุเงื่อนไขยอดหนี้ไม่เกิน 50,000 บาทต่อบัญชีสำหรับมาตรการ &quot;จ่าย ตัด ต้น&quot; ได้ถูกต้องตามเอกสาร 100%"/>
    <n v="5"/>
    <s v="บอทตอบตรงคำถามของลูกค้าและวิเคราะห์ข้อมูลยอดหนี้ของลูกค้าเทียบกับเงื่อนไขของมาตรการได้อย่างถูกต้องแม่นยำ และฟันธงว่าไม่ผ่านเกณฑ์"/>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มาตรการที่ 3 &quot;จ่าย ตัด ต้น&quot; ซึ่งเป็นมาตรการที่เกี่ยวข้องโดยตรงกับคำถามของลูกค้า"/>
    <s v="ผ่าน"/>
    <s v="ไม่มีคำแนะนำเพิ่มเติม เนื่องจากคำตอบถูกต้องและครบถ้วน"/>
  </r>
  <r>
    <x v="0"/>
    <s v="TC-015"/>
    <x v="0"/>
    <s v="ลูกหนี้มียอดหนี้ตามเกณฑ์ แต่สถานะหนี้ยังไม่เป็นหนี้เสีย (NPL) ตามเงื่อนไขเวลา"/>
    <s v="บัตรเครดิตยอด 3 หมื่น เพิ่งค้างมา 2 เดือน เริ่มจ่ายไม่ไหว อยากเปลี่ยนเป็นเงินกู้ผ่อนรายเดือนที่ดอกไม่เดินได้ไหม"/>
    <s v="ไม่ผ่านเกณฑ์ เนื่องจากต้องมีสถานะเป็นหนี้เสีย (NPL) ณ 31 ต.ค. 67 (ค้างชำระเกิน 90 วัน) จึงจะเข้าเกณฑ์มาตรการที่ 3"/>
    <s v="สวัสดีค่ะ สำหรับบัตรเครดิตที่มียอดหนี้ 30,000 บาท หากสถานะหนี้ของท่านเป็นหนี้เสีย (NPL) ณ วันที่ 31 ตุลาคม 2567 ท่านอาจเข้าเงื่อนไขมาตรการที่ 3 “จ่าย ตัด ต้น” ซึ่งเป็นการปรับโครงสร้างหนี้เป็นงวด (term loan) โดยมีเงื่อนไขคือต้องเป็นสินเชื่อที่ทำสัญญาก่อนวันที่ 1 มกราคม 2567 ค่ะ_x000a__x000a__x000a__x000a_อย่างไรก็ตาม เนื่องจากมาตรการของผู้ให้บริการแต่ละแห่งมีเงื่อนไขที่แตกต่างกัน รบกวนท่านโปรดศึกษารายละเอียดและติดต่อสอบถามกับสถาบันการเงินเจ้าของบัตรโดยตรง หรือติดต่อ Krungthai Contact Center 02 111 1111 กด 99 หรือ BOT Contact Center 1213 เพื่อตรวจสอบสิทธิ์อีกครั้งนะคะ_x000a__x000a_"/>
    <n v="3"/>
    <n v="1"/>
    <n v="3"/>
    <s v="บอทระบุเงื่อนไขที่ถูกต้องของมาตรการที่ 3 ได้แก่ สถานะหนี้เสีย (NPL) ณ วันที่ 31 ต.ค. 67 และสัญญาสินเชื่อทำก่อนวันที่ 1 ม.ค. 67 ซึ่งถูกต้องตามเอกสาร แม้ว่าข้อมูลลูกค้า (ค้าง 2 เดือน) จะยังไม่เข้าเกณฑ์ NPL (&gt;90 วัน) แต่การกางเงื่อนไขที่ถูกต้องให้ลูกค้าพิจารณาเองถือว่ายอมรับได้ตามหลัก Safe Response"/>
    <n v="3"/>
    <s v="บอทตอบตรงประเด็นโดยแนะนำมาตรการที่ 3 ซึ่งเกี่ยวข้องกับสินเชื่อบัตรเครดิตและการปรับโครงสร้างหนี้เป็น Term Loan การที่บอทไม่ฟันธงปฏิเสธลูกค้าโดยตรง แต่เลือกที่จะทวนเงื่อนไขสำคัญที่ถูกต้องเพื่อให้ลูกค้าพิจารณาตนเอง ถือว่ายอมรับได้และช่วยลดความเสี่ยงจากการให้ข้อมูลผิดพลาด นอกจากนี้ยังแนะนำให้ติดต่อสถาบันการเงินโดยตรงเพื่อตรวจสอบสิทธิ์ ซึ่งเป็นการตอบที่ปลอดภัยและเหมาะสม"/>
    <n v="5"/>
    <s v="ภาษาเป็นธรรมชาติ สั้นกระชับ และจัดรูปแบบดี อ่าน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เกี่ยวกับมาตรการที่ 3 “จ่าย ตัด ต้น” ซึ่งเป็นมาตรการที่ตรงกับคำถามของลูกค้ามากที่สุดมาใช้ได้อย่างถูกต้อง"/>
    <s v="ผ่าน"/>
    <s v="บอทสามารถเพิ่มเงื่อนไขเรื่องยอดหนี้ไม่เกิน 50,000 บาทต่อบัญชีสำหรับมาตรการที่ 3 เพื่อให้ข้อมูลครบถ้วนยิ่งขึ้น และอาจจะระบุเพิ่มเติมว่าการค้างชำระ 2 เดือนยังไม่เข้าข่ายหนี้เสีย (NPL) เพื่อให้ลูกค้าเข้าใจสถานะของตนเองได้ชัดเจนขึ้น"/>
  </r>
  <r>
    <x v="0"/>
    <s v="TC-016"/>
    <x v="0"/>
    <s v="ลูกหนี้มีหนี้เสียและยอดหนี้ตามเกณฑ์ แต่ขัดเงื่อนไขวันทำสัญญา (Cut-off date)"/>
    <s v="เพิ่งเปิดบัตรเครดิตใช้เมื่อกุมภาพันธ์ปี 67 ตอนนี้มียอดค้าง 2 หมื่นและเป็นหนี้เสียแล้ว เข้าโครงการจ่ายตัดต้นได้ไหม"/>
    <s v="ไม่ผ่านเกณฑ์ เนื่องจากต้องเป็นสัญญาสินเชื่อที่ทำก่อนวันที่ 1 มกราคม 2567 เท่านั้น"/>
    <s v="สำหรับการจัดการหนี้ที่เป็นหนี้เสียแล้วนั้น ในส่วนของสินเชื่อปกติของธนาคารอาจไม่สามารถนำมารวมหนี้ได้ค่ะ เนื่องจากต้องอาศัยมาตรการเฉพาะ เช่น การปรับโครงสร้างหนี้กับสถาบันการเงินโดยตรง_x000a__x000a_หากต้องการสอบถามรายละเอียดเพิ่มเติม แนะนำให้ติดต่อ Krungthai Contact Center 02 111 1111 กด 99 หรือ BOT Contact Center 1213 ค่ะ_x000a__x000a_"/>
    <n v="3"/>
    <n v="1"/>
    <n v="5"/>
    <s v="บอทตอบถูกต้องตามข้อมูลในเอกสารที่ระบุว่าหนี้เสียอาจไม่สามารถนำมารวมในสินเชื่อปกติได้ และต้องอาศัยมาตรการเฉพาะ เช่น การปรับโครงสร้างหนี้ ซึ่งสอดคล้องกับ Context อย่างชัดเจน บอทไม่ได้ให้ข้อมูลที่ผิดหรือมโนขึ้นมา"/>
    <n v="3"/>
    <s v="บอทตอบตรงประเด็นเรื่องหนี้เสียและแนะนำแนวทางที่ถูกต้องตามเอกสาร (การปรับโครงสร้างหนี้) แม้ว่าจะไม่ได้ฟันธงเรื่องโครงการที่ลูกค้าถามโดยตรง เนื่องจากข้อมูลเงื่อนไขเฉพาะของโครงการ (เช่น วันที่ทำสัญญา) ไม่ได้ระบุอยู่ใน Context ที่ให้มา การตอบแบบกางเงื่อนไขที่ถูกต้องถือว่ายอมรับได้และช่วยลดความเสี่ยง"/>
    <n v="5"/>
    <s v="ภาษาที่ใช้เป็นธรรมชาติ สั้นกระชับ และเข้าใจง่าย มีการจัดรูปแบบที่ดี"/>
    <s v="[file_name: ktb-info-1574-v3p1.txt | lines: 25-43]_x000a_การรวมหนี้เป็นก้อนเดียว ดีอย่างไร?_x000a_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_x000a_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_x000a_การรวมหนี้เป็นการรักษาประวัติข้อมูลเครดิต เพราะขอสินเชื่อรวมหนี้ได้สำเร็จ ก่อนที่หนี้เหล่านั้นจะกลายเป็นหนี้เสีย_x000a_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_x000a_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_x000a__x000a_-----*****-----_x000a__x000a_ประเภทของหนี้ที่สามารถ &quot;รวมหนี้เป็นก้อนเดียว&quot; ได้มีอะไรบ้าง?_x000a_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_x000a__x000a_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_x000a_หนี้บัตรกดเงินสด: อัตราดอกเบี้ยอาจสูงถึง 25% ต่อปี เป็นหนี้ที่กัดกินสภาพคล่องของผู้กู้อย่างมาก หากปล่อยไว้นานจะยิ่งสะสมดอกเบี้ย_x000a_หนี้สินเชื่อส่วนบุคคล: ทั้งสินเชื่อที่ไม่มีหลักประกัน และสินเชื่อที่มีหลักประกัน สามารถนำมารวมได้ทั้งสองแบบ_x000a_หนี้สินเชื่อเช่าซื้อสินค้า: เช่น สินเชื่อผ่อนสินค้า เครื่องใช้ไฟฟ้า โทรศัพท์มือถือ_x000a_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_x000a_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_x000a_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_x000a__x000a_---_x000a__x000a_[file_name: ktb-info-1574-v3p1.txt | lines: 47-63]_x000a_รวมหนี้เป็นก้อนเดียวมีข้อควรระวังอะไรที่ควรรู้?_x000a_สินเชื่อรวมหนี้หรือการรวมหนี้เป็นก้อนเดียวเป็นทางเลือกสำหรับผู้ที่ต้องการจัดการหนี้หลายที่ให้ง่ายขึ้น แต่ต้อง &quot;คิดให้รอบคอบ&quot; เพราะมีข้อควรระวังสำคัญที่ควรพิจารณา ได้แก่_x000a__x000a_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_x000a_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_x000a_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_x000a_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_x000a_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_x000a__x000a_-----*****-----_x000a__x000a_ใครควรพิจารณารวมหนี้เป็นก้อนเดียว?_x000a_ผู้ที่มีปัญหาภาระหนี้จากหลายแหล่ง และต้องการลดความซับซ้อนในการบริหารจัดการหนี้_x000a_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_x000a_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_x000a_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_x000a_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_x000a__x000a_---_x000a__x000a_[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tb-info-1574-v3p1.txt | lines: 1-21]_x000a_รวมหนี้เป็นก้อนเดียว เคล็ดลับจ่ายดอกเบี้ยถูกลง พร้อมแนะนำสินเชื่อรวมหนี้_x000a__x000a_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_x000a__x000a_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_x000a__x000a_Highlight_x000a_สินเชื่อรวมหนี้ (Debt Consolidation Loan) หรือ “รวมหนี้เป็นก้อนเดียว” คืออะไร?_x000a_การรวมหนี้เป็นก้อนเดียว ดีอย่างไร?_x000a_ประเภทของหนี้ที่สามารถรวมเป็นก้อนเดียวได้มีอะไรบ้าง?_x000a_รวมหนี้เป็นก้อนเดียวมีข้อควรระวังอะไรที่ควรรู้?_x000a_ใครควรพิจารณารวมหนี้เป็นก้อนเดียว?_x000a_ขั้นตอนหลักในการรวมหนี้ มีอะไรบ้าง?_x000a_หลังรวมหนี้แล้ว ทำอย่างไรไม่ให้กลับไปเป็นหนี้ซ้ำ?_x000a__x000a_-----*****-----_x000a__x000a_สินเชื่อรวมหนี้ (Debt Consolidation Loan) หรือ “รวมหนี้เป็นก้อนเดียว” คืออะไร?_x000a_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_x000a__x000a_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_x000a__x000a_---_x000a__x000a_[file_name: ktb-info-1574-v3p1.txt | lines: 67-77]_x000a_ขั้นตอนหลักในการรวมหนี้ มีอะไรบ้าง?_x000a_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_x000a__x000a_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_x000a_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_x000a_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_x000a_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_x000a_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_x000a_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_x000a_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_x000a_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
    <n v="5"/>
    <s v="บอทดึงข้อมูลที่เกี่ยวข้องโดยตรงกับประเด็นหนี้เสียและการรวมหนี้จากไฟล์ ktb-info-1574-v3p1.txt มาใช้ได้อย่างถูกต้อง"/>
    <s v="ผ่าน"/>
    <s v="หากมีข้อมูลเงื่อนไขเฉพาะของโครงการ &quot;คุณสู้ เราช่วย&quot; เช่น วันที่ทำสัญญาที่ชัดเจนใน Context บอทจะสามารถฟันธงเรื่องคุณสมบัติของลูกค้าได้แม่นยำยิ่งขึ้น"/>
  </r>
  <r>
    <x v="0"/>
    <s v="TC-017"/>
    <x v="0"/>
    <s v="ทดสอบว่ามาตรการที่ 3 ครอบคลุมถึงลูกหนี้นิติบุคคลที่มีหนี้เสียยอดต่ำด้วยหรือไม่"/>
    <s v="ในนามบริษัทมีหนี้บัตรกดเงินสดยอด 4 หมื่น เป็นหนี้เสียอยู่ แบบนี้บริษัทผมเข้าโครงการคุณสู้ได้ไหมครับ"/>
    <s v="ผ่านเกณฑ์ เนื่องจากมาตรการ &quot;จ่าย ตัด ต้น&quot; ครอบคลุมทั้งลูกหนี้บุคคลธรรมดาและนิติบุคคลที่มีหนี้เสียสินเชื่อไม่มีหลักประกันยอดไม่เกิน 50,000 บาท"/>
    <s v="สวัสดีค่ะ สำหรับนิติบุคคลที่มีหนี้เสีย (NPL) ของสินเชื่อไม่มีหลักประกัน เช่น บัตรกดเงินสด ยอดหนี้ไม่เกิน 50,000 บาทต่อบัญชี และทำสัญญาก่อนวันที่ 1 มกราคม 2567 สามารถเข้าร่วมมาตรการที่ 3 “จ่าย ตัด ต้น” ได้ค่ะ _x000a__x000a_ทั้งนี้ มาตรการของผู้ให้บริการแต่ละแห่งอาจมีเงื่อนไขที่แตกต่างกัน รบกวนคุณลูกค้าศึกษารายละเอียดและเงื่อนไขก่อนลงทะเบียนนะคะ "/>
    <n v="5"/>
    <n v="1"/>
    <n v="5"/>
    <s v="เงื่อนไขที่บอทระบุสำหรับมาตรการที่ 3 &quot;จ่าย ตัด ต้น&quot; ถูกต้อง 100% ตามเอกสารอ้างอิง รวมถึงการระบุว่าเป็นลูกหนี้นิติบุคคลได้ หนี้เสีย สินเชื่อไม่มีหลักประกัน ยอดหนี้ไม่เกิน 50,000 บาท และทำสัญญาก่อนวันที่ 1 มกราคม 2567 นอกจากนี้ยังมีการแจ้งเตือนให้ตรวจสอบเงื่อนไขเพิ่มเติมซึ่งถูกต้องตามเอกสาร."/>
    <n v="5"/>
    <s v="บอทตอบตรงประเด็นคำถามของลูกค้า โดยระบุมาตรการที่เหมาะสมและเงื่อนไขที่ตรงกับข้อมูลที่ลูกค้าให้มา (นิติบุคคล, หนี้บัตรกดเงินสด 4 หมื่น, หนี้เสีย) ซึ่งเป็นการยืนยันคุณสมบัติโดยการกางเงื่อนไขที่ถูกต้อง ทำให้ลูกค้าสามารถพิจารณาตนเองได้ และสอดคล้องกับ Expected Output ที่ระบุว่า &quot;ผ่านเกณฑ์&quot;."/>
    <n v="5"/>
    <s v="ภาษาที่ใช้เป็นธรรมชาติ สั้นกระชับ และเข้าใจง่าย จัดรูปแบบ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ส่วนของ &quot;มาตรการที่ 3 “จ่าย ตัด ต้น”&quot; ซึ่งเป็นข้อมูลที่เกี่ยวข้องโดยตรงกับคำถามของลูกค้า และดึงข้อมูลทั่วไปของโครงการมาประกอบได้อย่างถูกต้อง."/>
    <s v="ผ่าน"/>
    <s v="คำตอบดีมาก ไม่จำเป็นต้องปรับปรุงเพิ่มเติม"/>
  </r>
  <r>
    <x v="0"/>
    <s v="TC-018"/>
    <x v="0"/>
    <s v="ทดสอบว่าบอทจะหลงเชื่อเรื่องมาตรการที่ 4 ที่ไม่มีจริงหรือไม่ (แหล่งข้อมูลมีแค่ 3 มาตรการ)"/>
    <s v="เห็นในโซเชียลบอกว่ามี มาตรการที่ 4 'ยกหนี้ให้ฟรี' สำหรับคนที่มีบุตรเกิน 3 คน อันนี้ต้องลงทะเบียนที่ไหนคะ"/>
    <s v="ไม่พบข้อมูลมาตรการที่ 4 ยกหนี้ให้ฟรี"/>
    <s v="ขออภัยค่ะ ข้อมูลเกี่ยวกับมาตรการที่ 4 “ยกหนี้ให้ฟรี” สำหรับผู้ที่มีบุตรเกิน 3 คน ไม่ปรากฏอยู่ในรายละเอียดโครงการ “คุณสู้ เราช่วย” ค่ะ_x000a__x000a_หากท่านต้องการสอบถามข้อมูลเพิ่มเติมเกี่ยวกับมาตรการช่วยเหลือลูกหนี้ สามารถติดต่อได้ที่ Krungthai Contact Center 02 111 1111 กด 99 หรือ BOT Contact Center 1213 ค่ะ"/>
    <n v="5"/>
    <n v="1"/>
    <n v="5"/>
    <s v="บอทตอบถูกต้องว่าไม่พบข้อมูลมาตรการที่ 4 ในเอกสารโครงการ &quot;คุณสู้ เราช่วย&quot; ซึ่งสอดคล้องกับ Context ที่มีเพียงมาตรการที่ 1, 2 และ 3 เท่านั้น"/>
    <n v="5"/>
    <s v="บอทตอบตรงประเด็นและปฏิเสธข้อมูลที่ไม่ถูกต้องอย่างสุภาพและปลอดภัย โดยไม่ฟันธงหรือให้ข้อมูลที่ผิดพลาด และยังให้ช่องทางการติดต่อเพิ่มเติม"/>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quot;คุณสู้ เราช่วย&quot; ซึ่งเป็นหัวข้อที่ผู้ใช้สอบถาม และบอทสามารถตรวจสอบได้ว่าไม่มีมาตรการที่ 4 ตามที่ผู้ใช้กล่าวถึง"/>
    <s v="ผ่าน"/>
    <s v="คำตอบดีมาก ไม่จำเป็นต้องปรับปรุง"/>
  </r>
  <r>
    <x v="0"/>
    <s v="TC-019"/>
    <x v="0"/>
    <s v="ทดสอบเงื่อนไขข้อห้ามก่อหนี้อุปโภคบริโภคใหม่ใน 12 เดือนแรก ซึ่งในเอกสารระบุห้ามชัดเจน"/>
    <s v="พนักงานธนาคารบอกหนูว่า ถ้าเข้าโครงการที่ 1 แล้ว ยังกู้เงินไปซื้อ iPhone 16 ได้เลย ไม่นับเป็นหนี้ใหม่ จริงไหมคะ"/>
    <s v="แจ้งว่าไม่ได้ เนื่องจากเงื่อนไขระบุห้ามทำสัญญาสินเชื่ออุปโภคบริโภคใหม่ใน 12 เดือนแรกหลังเข้าร่วมมาตรการ"/>
    <s v="ขออภัยค่ะ ข้อมูลที่ท่านได้รับมาไม่ถูกต้องตามเงื่อนไขของโครงการค่ะ_x000a__x000a_สำหรับมาตรการที่ 1 “จ่ายตรง คงทรัพย์” มีเงื่อนไขระบุชัดเจนว่า ลูกหนี้จะไม่สามารถทำสัญญาสินเชื่ออุปโภคบริโภคใหม่ได้ใน 12 เดือนแรกหลังเข้าร่วมมาตรการค่ะ _x000a__x000a_หากมีข้อสงสัยเพิ่มเติม แนะนำให้ติดต่อ Krungthai Contact Center 02 111 1111 กด 99 หรือ BOT Contact Center 1213 ค่ะ"/>
    <n v="5"/>
    <n v="1"/>
    <n v="5"/>
    <s v="บอทตอบถูกต้องตามเงื่อนไขของมาตรการที่ 1 ที่ระบุว่า &quot;ลูกหนี้จะไม่สามารถทำสัญญาสินเชื่ออุปโภคบริโภคใหม่ ใน 12 เดือนแรกหลังเข้าร่วมมาตรการ&quot;"/>
    <n v="5"/>
    <s v="บอทตอบตรงประเด็นคำถามของลูกค้าและแก้ไขข้อมูลที่ไม่ถูกต้องที่ลูกค้าได้รับมาได้อย่างชัดเจน"/>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ส่วนของ &quot;มาตรการที่ 1 “จ่ายตรง คงทรัพย์”&quot; และเงื่อนไขการเข้าร่วมมาตรการได้อย่างถูกต้องและตรงประเด็น"/>
    <s v="ผ่าน"/>
    <s v="ไม่มี"/>
  </r>
  <r>
    <x v="0"/>
    <s v="TC-020"/>
    <x v="0"/>
    <s v="ลูกค้าแจ้งเพียงว่ามีหนี้ แต่ไม่ระบุประเภทหนี้และยอดหนี้ ซึ่งแต่ละมาตรการมีเกณฑ์ต่างกัน"/>
    <s v="มีหนี้อยู่ก้อนนึง ผ่อนไม่ไหวแล้ว อยากเข้าโครงการคุณสู้ต้องทำยังไงบ้าง"/>
    <s v="สอบถามประเภทหนี้ (บ้าน รถ บัตร หรือ SMEs) และสถานะการค้างชำระ เพื่อแนะนำมาตรการที่ถูกต้อง"/>
    <s v="สวัสดีค่ะ สำหรับโครงการ “คุณสู้ เราช่วย” จะมีมาตรการช่วยเหลือที่แตกต่างกันตามประเภทสินเชื่อและเงื่อนไขของแต่ละสถาบันการเงินค่ะ_x000a__x000a_เนื่องจากมาตรการของผู้ให้บริการแต่ละแห่งมีเงื่อนไขที่แตกต่างกัน รบกวนคุณลูกค้าศึกษารายละเอียด คุณสมบัติ และเงื่อนไขก่อนลงทะเบียนเข้าร่วมโครงการนะคะ _x000a__x000a_หากต้องการสอบถามข้อมูลเพิ่มเติม สามารถติดต่อ Krungthai Contact Center 02 111 1111 กด 99 หรือ BOT Contact Center 1213 ได้เลยค่ะ"/>
    <n v="3"/>
    <n v="1"/>
    <n v="3"/>
    <s v="ข้อมูลที่บอทให้ถูกต้องตามเอกสาร โดยเฉพาะประโยคที่ว่า &quot;มาตรการของผู้ให้บริการแต่ละแห่งมีเงื่อนไขที่แตกต่างกัน&quot; ซึ่งเป็นการตอบแบบกางเงื่อนไขเพื่อความปลอดภัย"/>
    <n v="3"/>
    <s v="บอทไม่ได้ฟันธงหรือแนะนำมาตรการที่เฉพาะเจาะจง แต่เลือกที่จะให้ข้อมูลทั่วไปและช่องทางการติดต่อ ซึ่งถือว่ายอมรับได้ตามหลัก Safety Over Rejection แม้จะยังไม่ตรงประเด็นเท่าที่ควรเมื่อเทียบกับ Expected Output ที่ต้องการให้สอบถามข้อมูลเพิ่มเติม"/>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quot;คุณสู้ เราช่วย&quot; และประเด็นเรื่องเงื่อนไขที่แตกต่างกัน"/>
    <s v="ผ่าน"/>
    <s v="ควรปรับปรุงให้บอทสอบถามข้อมูลประเภทหนี้และสถานะการค้างชำระจากลูกค้าเพิ่มเติม เพื่อให้สามารถแนะนำมาตรการที่เหมาะสมได้ตรงจุดมากขึ้น แทนที่จะให้ข้อมูลทั่วไปและช่องทางการติดต่อในทันที"/>
  </r>
  <r>
    <x v="0"/>
    <s v="TC-021"/>
    <x v="1"/>
    <s v="ลูกค้ามีหนี้เสียบัตร แต่มาตรการสำหรับบัตรมีทั้ง มาตรการ 2 (ยอดต่ำ) และ มาตรการ 3 (จ่ายตัดต้น)"/>
    <s v="เป็นหนี้เสียบัตรเครดิตอยู่ 3 หมื่น อยากสมัครโครงการคุณสู้อันที่พักดอกเบี้ยครับ"/>
    <s v="สอบถามวันที่ทำสัญญาก่อนปี 2567 หรือไม่ เพื่อตรวจสอบว่าเข้าเกณฑ์มาตรการ 3 &quot;จ่าย ตัด ต้น&quot; หรือไม่"/>
    <s v="สวัสดีค่ะ สำหรับหนี้บัตรเครดิตที่เป็นหนี้เสีย (NPL) ยอด 30,000 บาท ท่านสามารถพิจารณาเข้าร่วม &quot;มาตรการที่ 3 จ่าย ตัด ต้น&quot; ได้ค่ะ_x000a__x000a_โดยมีเงื่อนไขคือต้องเป็นหนี้เสีย ณ วันที่ 31 ตุลาคม 2567 และสัญญาสินเชื่อต้องทำก่อนวันที่ 1 มกราคม 2567 โดยยอดหนี้ต้องไม่เกิน 50,000 บาทต่อบัญชีค่ะ _x000a__x000a_ทั้งนี้ มาตรการของผู้ให้บริการแต่ละแห่งมีเงื่อนไขที่แตกต่างกัน โปรดศึกษารายละเอียดและเงื่อนไขก่อนลงทะเบียนเข้าร่วมโครงการนะคะ หากมีข้อสงสัยเพิ่มเติม สามารถติดต่อ Krungthai Contact Center 02 111 1111 กด 99 หรือ BOT Contact Center 1213 ค่ะ "/>
    <n v="5"/>
    <n v="1"/>
    <n v="5"/>
    <s v="บอทระบุเงื่อนไขของมาตรการที่ 3 &quot;จ่าย ตัด ต้น&quot; ได้ถูกต้อง 100% ตามเอกสารอ้างอิง ทั้งเรื่องสถานะหนี้เสีย วันที่ทำสัญญา และยอดหนี้สูงสุด และการตอบแบบกางเงื่อนไขให้ลูกค้าตรวจสอบเองถือเป็น Safe Response ที่ยอมรับได้"/>
    <n v="5"/>
    <s v="บอทตอบตรงประเด็นกับคำถามของลูกค้าที่ต้องการพักดอกเบี้ยสำหรับหนี้บัตรเครดิตที่เป็นหนี้เสีย และเลือกมาตรการที่ 3 ได้ถูกต้องเหมาะสม โดยการกางเงื่อนไขให้ลูกค้าพิจารณาตนเองถือว่ายอมรับได้และช่วยลดความเสี่ยงจากการให้ข้อมูลผิดพลาด"/>
    <n v="5"/>
    <s v="ภาษาที่ใช้เป็นธรรมชาติ เข้าใจง่าย และมีการจัดรูปแบบที่ดี ทำให้ข้อมูลอ่าน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ส่วนของ &quot;มาตรการที่ 3 จ่าย ตัด ต้น&quot; ซึ่งเกี่ยวข้องโดยตรงกับคำถามของลูกค้า"/>
    <s v="ผ่าน"/>
    <s v="ไม่มี"/>
  </r>
  <r>
    <x v="0"/>
    <s v="TC-022"/>
    <x v="1"/>
    <s v="ลูกค้าระบุประเภทรถและสถานะค้าง แต่ไม่ระบุว่าเป็นรถยนต์หรือมอเตอร์ไซค์ และยอดเงินกู้เท่าไหร่"/>
    <s v="ผ่อนรถไม่ไหว ค้างมา 2 เดือนแล้ว เข้าโครงการได้ไหม"/>
    <s v="สอบถามประเภทรถและวงเงินกู้ในสัญญา เพื่อแยกแยะเกณฑ์รถยนต์ (ไม่เกิน 8 แสน) หรือมอเตอร์ไซค์"/>
    <s v="สวัสดีค่ะ สำหรับโครงการ “คุณสู้ เราช่วย” มาตรการที่ 1 “จ่ายตรง คงทรัพย์” ซึ่งครอบคลุมหนี้รถยนต์นั้น มีเงื่อนไขสถานะหนี้ ณ วันที่ 31 ตุลาคม 2567 ดังนี้ค่ะ_x000a__x000a_1. ค้างชำระมากกว่า 30 วัน _x000a_2. หรือไม่ค้างชำระ/ค้างชำระไม่เกิน 30 วัน แต่เคยมีประวัติค้างชำระและเคยปรับโครงสร้างหนี้ตั้งแต่ 1 ม.ค. 65 _x000a__x000a_ทั้งนี้ มาตรการของผู้ให้บริการแต่ละแห่งมีเงื่อนไขที่แตกต่างกัน โปรดศึกษารายละเอียดและคุณสมบัติก่อนลงทะเบียนนะคะ "/>
    <n v="3"/>
    <n v="1"/>
    <n v="5"/>
    <s v="บอทระบุเงื่อนไขสถานะหนี้ของมาตรการที่ 1 ได้ถูกต้อง 100% ตามเอกสารอ้างอิง"/>
    <n v="3"/>
    <s v="บอทตอบตรงประเด็นโดยการระบุมาตรการที่เกี่ยวข้องและเงื่อนไขสถานะหนี้ที่ลูกค้าสอบถามถึง แม้จะไม่ได้สอบถามข้อมูลเพิ่มเติมตาม Expected Output แต่การกางเงื่อนไขที่ถูกต้องเพื่อให้ลูกค้าพิจารณาตนเองถือว่ายอมรับได้ตามหลัก Safety Over Rejection"/>
    <n v="5"/>
    <s v="ภาษาเป็นธรรมชาติ เข้าใจง่าย และจัดรูปแบ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มาตรการที่ 1 ที่เกี่ยวข้องกับหนี้รถยนต์และเงื่อนไขสถานะหนี้มาได้อย่างถูกต้องและตรงประเด็น"/>
    <s v="ผ่าน"/>
    <s v="บอทควรสอบถามข้อมูลเพิ่มเติมเกี่ยวกับประเภทรถและวงเงินกู้ในสัญญา เพื่อให้สามารถประเมินคุณสมบัติได้ครบถ้วนยิ่งขึ้นตามเกณฑ์ของมาตรการที่ 1"/>
  </r>
  <r>
    <x v="0"/>
    <s v="TC-023"/>
    <x v="1"/>
    <s v="ทดสอบการอธิบายสูตรลดค่างวดแบบขั้นบันได 3 ปี ของมาตรการที่ 1"/>
    <s v="ปกติผ่อนบ้านเดือนละ 10,000 ถ้าเข้าโครงการนี้ปีแรกต้องจ่ายเท่าไหร่ และปีต่อๆ ไปลดกี่บาท"/>
    <s v="ปีที่ 1 จ่าย 50% (5,000 บาท), ปีที่ 2 จ่าย 70% (7,000 บาท) และปีที่ 3 จ่าย 90% (9,000 บาท) "/>
    <s v="ขออภัยค่ะ ข้อมูลที่ท่านสอบถามไม่ปรากฏรายละเอียดการคำนวณค่างวดที่ชัดเจนสำหรับกรณีของท่านในเอกสารที่ได้รับมาค่ะ เนื่องจากมาตรการของผู้ให้บริการแต่ละแห่งมีเงื่อนไขที่แตกต่างกัน_x000a__x000a_แนะนำให้ท่านศึกษารายละเอียดเพิ่มเติมหรือติดต่อสอบถามโดยตรงที่ Krungthai Contact Center 02 111 1111 กด 99 หรือ BOT Contact Center 1213 ค่ะ"/>
    <n v="1"/>
    <n v="0"/>
    <n v="1"/>
    <s v="บอทระบุว่าไม่พบข้อมูลการคำนวณค่างวด ทั้งที่ข้อมูลอยู่ใน Context อย่างชัดเจนในมาตรการที่ 1 “จ่ายตรง คงทรัพย์” ที่ระบุว่าปีที่ 1 จ่าย 50% ปีที่ 2 จ่าย 70% และปีที่ 3 จ่าย 90% ของค่างวดเดิม"/>
    <n v="1"/>
    <s v="บอทไม่สามารถตอบคำถามของลูกค้าได้โดยตรงและแนะนำให้ติดต่อ Call Center ทั้งที่ข้อมูลที่ใช้ในการคำนวณมีอยู่ใน Context"/>
    <n v="3"/>
    <s v="ภาษาที่ใช้เข้าใจง่าย แต่เนื้อหาไม่ถูกต้อง"/>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 โดยเฉพาะมาตรการที่ 1 “จ่ายตรง คงทรัพย์”"/>
    <s v="ไม่ผ่าน"/>
    <s v="บอทควรนำข้อมูลจากมาตรการที่ 1 “จ่ายตรง คงทรัพย์” มาคำนวณค่างวดตามที่ลูกค้าระบุ (10,000 บาท) และตอบกลับลูกค้าโดยตรง"/>
  </r>
  <r>
    <x v="0"/>
    <s v="TC-024"/>
    <x v="1"/>
    <s v="ทดสอบความเข้าใจเรื่องการตัดเงินต้นและการพักดอกเบี้ยในมาตรการที่ 1"/>
    <s v="เงินที่จ่ายไปแต่ละเดือนในช่วง 3 ปีนี้ จะเอาไปหักดอกเบี้ยหรือหักเงินต้น"/>
    <s v="ค่างวดทั้งหมดจะนำไปตัดเงินต้น ส่วนดอกเบี้ยจะถูกพักไว้ 3 ปีและยกเว้นให้ทั้งหมดหากทำตามเงื่อนไข "/>
    <s v="สำหรับการชำระค่างวดภายใต้โครงการ “คุณสู้ เราช่วย” ในมาตรการที่ 1 และมาตรการที่ 3 ค่างวดที่ท่านจ่ายจะถูกนำไปตัดเงินต้นทั้งหมดเป็นระยะเวลา 3 ปี โดยดอกเบี้ยจะถูกตั้งพักไว้และจะได้รับการยกเว้นทั้งหมดหากท่านปฏิบัติได้ตามเงื่อนไขของโครงการค่ะ_x000a__x000a__x000a_"/>
    <n v="5"/>
    <n v="1"/>
    <n v="5"/>
    <s v="ข้อมูลถูกต้อง 100% ตาม Context สำหรับมาตรการที่ 1 และ 3 ที่บอทกล่าวถึง โดยระบุว่าค่างวดจะถูกนำไปตัดเงินต้นทั้งหมด และดอกเบี้ยจะถูกพักไว้ 3 ปีและยกเว้นให้หากทำตามเงื่อนไข"/>
    <n v="5"/>
    <s v="ตอบตรงคำถามของลูกค้าและระบุมาตรการที่เกี่ยวข้องได้อย่างถูกต้องแม่นยำ"/>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เกี่ยวข้องโดยตรงและดึงข้อมูลมาถูกโครงการและมาตรการที่เกี่ยวข้อง"/>
    <s v="ผ่าน"/>
    <s v="-"/>
  </r>
  <r>
    <x v="0"/>
    <s v="TC-025"/>
    <x v="1"/>
    <s v="ทดสอบการอธิบายสิทธิประโยชน์การลดค่างวดขั้นบันไดของ มาตรการที่ 1 สำหรับสินเชื่อ SMEs"/>
    <s v="ทำธุรกิจส่วนตัว กู้มาลงทุน 4 ล้าน ถ้าเข้าโครงการจ่ายตรงคงทรัพย์แล้ว ค่างวดจะลดลงปีละเท่าไหร่"/>
    <s v="ปีที่ 1 จ่าย 50%, ปีที่ 2 จ่าย 70% และปีที่ 3 จ่าย 90% ของค่างวดเดิม โดยเงินที่จ่ายจะนำไปตัดเงินต้นทั้งหมด (ที่มา: khunsoo-v1_augmented.txt, บรรทัด 33-33)"/>
    <s v="ขออภัยค่ะ ข้อมูลที่ท่านสอบถามเกี่ยวกับจำนวนค่างวดที่จะลดลงในแต่ละปีนั้น ไม่ได้ระบุรายละเอียดเป็นตัวเลขจำนวนเงินที่ชัดเจนไว้ในเอกสารโครงการค่ะ_x000a__x000a_ทั้งนี้ มาตรการ “จ่ายตรง คงทรัพย์” มีรูปแบบการลดค่างวดโดยให้ชำระขั้นต่ำที่ 50%, 70% และ 90% ของค่างวดเดิม ในปีที่ 1, 2 และ 3 ตามลำดับค่ะ _x000a__x000a_หากท่านต้องการทราบรายละเอียดเพิ่มเติมเกี่ยวกับเงื่อนไขหรือการคำนวณค่างวดของท่านโดยเฉพาะ ขอแนะนำให้ติดต่อ Krungthai Contact Center 02 111 1111 กด 99 หรือ BOT Contact Center 1213 ค่ะ"/>
    <n v="3"/>
    <n v="1"/>
    <n v="5"/>
    <s v="บอทให้ข้อมูลเงื่อนไขการลดค่างวดเป็นเปอร์เซ็นต์ที่ถูกต้องตามเอกสาร 100% และระบุว่าเอกสารไม่ได้ระบุตัวเลขที่ชัดเจน ซึ่งเป็นความจริง"/>
    <n v="3"/>
    <s v="บอทตอบตรงประเด็นโดยการกางเงื่อนไขการลดค่างวดที่ถูกต้องตามเอกสาร แม้จะไม่สามารถคำนวณตัวเลขที่แน่นอนให้ลูกค้าได้เนื่องจากข้อมูลไม่เพียงพอ ซึ่งถือเป็น Safe Response ที่ยอมรับได้"/>
    <n v="5"/>
    <s v="ภาษาที่ใช้เป็นธรรมชาติ เข้าใจง่าย และจัดรูปแบ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มาตรการ &quot;จ่ายตรง คงทรัพย์&quot; และมีข้อมูลเรื่องการลดค่างวดที่ลูกค้าสอบถาม"/>
    <s v="ผ่าน"/>
    <s v="คำตอบของบอทเหมาะสมแล้ว เนื่องจากข้อมูลในเอกสารไม่ได้ระบุตัวเลขการลดค่างวดที่ชัดเจน"/>
  </r>
  <r>
    <x v="0"/>
    <s v="TC-026"/>
    <x v="1"/>
    <s v="ทดสอบสิทธิประโยชน์เรื่องการรวมหนี้ (Debt Consolidation) ภายใต้ มาตรการที่ 1"/>
    <s v="ถ้าเอาหนี้บัตรเครดิตมารวมกับหนี้บ้านในโครงการ 1 จะช่วยลดดอกเบี้ยได้เยอะไหม"/>
    <s v="ช่วยลดภาระดอกเบี้ยบัตรที่ปกติสูง (เช่น 16%) มาคำนวณและผ่อนปรนภายใต้เงื่อนไขมาตรการ 1 ได้ หากหนี้บ้านเข้าเกณฑ์อยู่แล้ว (ที่มา: khunsoo-v1_augmented.txt, บรรทัด 41-41), (ที่มา: ktb-info-v1_augmented.txt, บรรทัด 58-58)"/>
    <s v="สำหรับการรวมหนี้บัตรเครดิตเข้ากับหนี้บ้านภายใต้มาตรการที่ 1 “จ่ายตรง คงทรัพย์” นั้น หากคุณมีหนี้บ้านหรือหนี้รถที่เข้าเงื่อนไข สามารถพิจารณาเข้ามาตรการรวมหนี้ได้ภายใต้ระดับความเสี่ยงที่สถาบันการเงินรับได้ โดยวงเงินรวมต้องไม่เกินที่กำหนดค่ะ _x000a__x000a_มาตรการนี้จะช่วยลดค่างวดและพักดอกเบี้ยไว้เป็นเวลา 3 ปี โดยค่างวดที่จ่ายจะนำไปตัดเงินต้นทั้งหมด และหากปฏิบัติได้ตามเงื่อนไข ดอกเบี้ยที่พักไว้จะได้รับยกเว้นทั้งหมดค่ะ _x000a__x000a_ทั้งนี้ เงื่อนไขและรายละเอียดของแต่ละสถาบันการเงินอาจแตกต่างกัน เพื่อความชัดเจนและข้อมูลที่ถูกต้องที่สุด แนะนำให้ติดต่อ Krungthai Contact Center 02 111 1111 กด 99 หรือ BOT Contact Center 1213 ค่ะ"/>
    <n v="3"/>
    <n v="1"/>
    <n v="5"/>
    <s v="บอทให้ข้อมูลถูกต้องตามเอกสารอ้างอิง โดยระบุเงื่อนไขการรวมหนี้บัตรเครดิตกับหนี้บ้านภายใต้มาตรการที่ 1 และอธิบายถึงรูปแบบการให้ความช่วยเหลือที่ลดค่างวดและพักดอกเบี้ย ซึ่งสอดคล้องกับข้อมูลใน Context นอกจากนี้ยังมีการแนะนำให้ติดต่อหน่วยงานที่เกี่ยวข้องเพื่อข้อมูลที่ชัดเจน ซึ่งเป็นไปตามหลักการ Safe Response"/>
    <n v="3"/>
    <s v="บอทตอบตรงประเด็นคำถามเกี่ยวกับการรวมหนี้บัตรเครดิตกับหนี้บ้านในมาตรการ 1 และอธิบายถึงกลไกการลดภาระดอกเบี้ย (ลดค่างวดและพักดอกเบี้ย) ซึ่งถือเป็นการตอบแบบกางเงื่อนไขและประโยชน์ของมาตรการเพื่อให้ลูกค้าพิจารณาเอง ไม่ได้ฟันธงตัวเลขการลดดอกเบี้ยโดยตรง ซึ่งเป็นแนวทางที่ยอมรับได้ตามเกณฑ์ &quot;Safety Over Rejection&quot; และ &quot;Acceptable at 3&quot; เพื่อลดความเสี่ยงจากการให้ข้อมูลที่อาจคลาดเคลื่อน"/>
    <n v="5"/>
    <s v="ภาษาที่ใช้เป็นธรรมชาติ เข้าใจง่าย และมีการจัดรูปแบบการตอบที่ดี ทำให้ผู้อ่านสามารถทำความเข้าใจข้อมูลได้โดยไม่สับสน"/>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คำถามของลูกค้าเกี่ยวกับมาตรการที่ 1 และการรวมหนี้บัตรเครดิตกับหนี้บ้าน"/>
    <s v="ผ่าน"/>
    <s v="บอทสามารถเพิ่มการเน้นย้ำว่าดอกเบี้ยบัตรเครดิตมักจะสูง และการรวมหนี้ภายใต้มาตรการนี้จะช่วยลดภาระดอกเบี้ยโดยรวมได้อย่างมีนัยสำคัญ เพื่อตอบคำถาม &quot;ลดดอกเบี้ยได้เยอะไหม&quot; ให้ชัดเจนยิ่งขึ้น โดยยังคงรักษาหลักการ Safe Response ด้วยการอธิบายกลไกแทนการระบุตัวเลขที่แน่นอน"/>
  </r>
  <r>
    <x v="0"/>
    <s v="TC-027"/>
    <x v="1"/>
    <s v="ทดสอบการให้ส่วนลดเพื่อปิดจบหนี้เสียยอดต่ำไม่เกิน 5,000 บาท ใน มาตรการที่ 2"/>
    <s v="ติดหนี้อยู่ 4,000 บาท เป็นหนี้เสียมานาน ถ้าเข้าโครงการ 'จ่าย ปิด จบ' ต้องจ่ายเงินก้อนเท่าไหร่ถึงจะล้างหนี้ได้"/>
    <s v="ลูกหนี้สามารถชำระหนี้เพียงบางส่วนตามที่ตกลงกับเจ้าหนี้เพื่อปิดจบหนี้ได้ทันทีและเริ่มต้นใหม่ได้เร็วขึ้น (ที่มา: khunsoo-v1_augmented.txt, บรรทัด 43-43)"/>
    <s v="สำหรับมาตรการ “จ่าย ปิด จบ” รูปแบบการให้ความช่วยเหลือคือการที่ลูกหนี้สามารถชำระหนี้บางส่วนเพื่อให้สามารถจ่ายและปิดจบหนี้ได้เร็วขึ้นค่ะ _x000a__x000a_ทั้งนี้ มาตรการของผู้ให้บริการแต่ละแห่งจะมีเงื่อนไขที่แตกต่างกัน รบกวนคุณลูกค้าศึกษารายละเอียดหรือติดต่อสอบถามสถาบันการเงินเจ้าหนี้โดยตรงก่อนลงทะเบียนนะคะ "/>
    <n v="3"/>
    <n v="1"/>
    <n v="5"/>
    <s v="บอทให้ข้อมูลเกี่ยวกับรูปแบบการให้ความช่วยเหลือของมาตรการ &quot;จ่าย ปิด จบ&quot; ได้ถูกต้องตามเอกสาร 100% และคำแนะนำให้ติดต่อสถาบันการเงินเจ้าหนี้โดยตรงก็ถูกต้องตามเอกสารเช่นกัน"/>
    <n v="3"/>
    <s v="บอทไม่สามารถฟันธงจำนวนเงินที่แน่นอนได้ เนื่องจากเอกสารระบุเพียง &quot;ชำระหนี้บางส่วน&quot; และเงื่อนไขแตกต่างกันไปในแต่ละผู้ให้บริการ บอทจึงเลือกที่จะกางเงื่อนไขที่ถูกต้องและแนะนำให้ลูกค้าติดต่อเจ้าหนี้โดยตรง ซึ่งถือว่ายอมรับได้ตามหลัก &quot;Safety Over Rejection&quot;"/>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 &quot;จ่าย ปิด จบ&quot; และเงื่อนไขทั่วไปของโครงการ"/>
    <s v="ผ่าน"/>
    <s v="คำตอบของบอทเหมาะสมแล้ว เนื่องจากข้อมูลที่ลูกค้าต้องการเป็นข้อมูลเฉพาะบุคคลที่ต้องตกลงกับเจ้าหนี้โดยตรง"/>
  </r>
  <r>
    <x v="0"/>
    <s v="TC-028"/>
    <x v="1"/>
    <s v="ทดสอบสิทธิประโยชน์การปิดจบหนี้ไม่มีหลักประกันยอดไม่เกิน 10,000 บาท ใน มาตรการที่ 2"/>
    <s v="หนี้บัตรเครดิต 9,000 บาทที่เป็น NPL ถ้าขอปิดจบในมาตรการ 2 จะได้ส่วนลดเยอะไหม"/>
    <s v="สามารถชำระหนี้บางส่วนเพื่อให้สามารถจ่ายและปิดจบหนี้ได้เร็วขึ้นพร้อมเริ่มต้นใหม่ (ที่มา: khunsoo-v1_augmented.txt, บรรทัด 44-44)"/>
    <s v="สวัสดีค่ะ สำหรับมาตรการที่ 2 “จ่าย ปิด จบ” นั้น รูปแบบการให้ความช่วยเหลือคือการที่ลูกหนี้สามารถชำระหนี้บางส่วนเพื่อให้สามารถจ่ายและปิดจบหนี้ได้เร็วขึ้นค่ะ _x000a__x000a_อย่างไรก็ตาม ข้อมูลไม่ได้ระบุรายละเอียดเกี่ยวกับจำนวนส่วนลดไว้ค่ะ ทั้งนี้มาตรการของผู้ให้บริการแต่ละแห่งมีเงื่อนไขที่แตกต่างกัน แนะนำให้คุณลูกค้าศึกษารายละเอียดและเงื่อนไขกับสถาบันการเงินของท่านโดยตรง หรือติดต่อ Krungthai Contact Center 02 111 1111 กด 99 หรือ BOT Contact Center 1213 ค่ะ "/>
    <n v="3"/>
    <n v="1"/>
    <n v="5"/>
    <s v="บอทให้ข้อมูลรูปแบบการให้ความช่วยเหลือของมาตรการที่ 2 ได้ถูกต้องตามเอกสาร และระบุอย่างถูกต้องว่าข้อมูลส่วนลดไม่ได้ระบุไว้ในเอกสาร"/>
    <n v="3"/>
    <s v="บอทตอบตรงประเด็นเกี่ยวกับมาตรการที่ 2 และการสอบถามเรื่องส่วนลด แม้จะไม่ได้ฟันธงเรื่องส่วนลดโดยตรง แต่ใช้วิธีแจ้งว่าข้อมูลไม่ระบุรายละเอียดส่วนลดและแนะนำให้ติดต่อหน่วยงานที่เกี่ยวข้อง ซึ่งถือเป็น Safe Response ที่ยอมรับได้ตามเกณฑ์"/>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มาตรการที่ 2 “จ่าย ปิด จบ” มาใช้ได้อย่างถูกต้องและตรงประเด็น"/>
    <s v="ผ่าน"/>
    <s v="บอทสามารถระบุเพิ่มเติมได้ว่าหนี้บัตรเครดิต 9,000 บาท เข้าข่ายคุณสมบัติของมาตรการที่ 2 (สินเชื่อที่ไม่มีหลักประกัน ที่มีภาระหนี้ไม่เกิน 10,000 บาทต่อบัญชี) ก่อนที่จะอธิบายรูปแบบการให้ความช่วยเหลือและแจ้งว่าไม่มีข้อมูลส่วนลดเฉพาะเจาะจง เพื่อให้คำตอบสมบูรณ์ยิ่งขึ้น"/>
  </r>
  <r>
    <x v="0"/>
    <s v="TC-029"/>
    <x v="1"/>
    <s v="ทดสอบการช่วยเหลือหนี้มีหลักประกันที่ถูกบังคับทรัพย์แล้วยอดไม่เกิน 30,000 บาท ใน มาตรการที่ 2"/>
    <s v="โดนยึดรถไปแล้ว แต่ยังมีหนี้เหลืออีก 25,000 บาท ถ้าเข้าโครงการ 2 จะช่วยอะไรได้บ้าง"/>
    <s v="ลูกหนี้สามารถชำระหนี้ส่วนที่เหลือเพียงบางส่วนเพื่อปิดจบหนี้ก้อนนี้ได้ทั้งหมด (ที่มา: khunsoo-v1_augmented.txt, บรรทัด 45-45)"/>
    <s v="ขออภัยค่ะ จากข้อมูลโครงการ “คุณสู้ เราช่วย” มาตรการที่ 2 “จ่าย ปิด จบ” กำหนดคุณสมบัติสำหรับสินเชื่อที่มีหลักประกันไว้ว่าต้องมียอดหนี้ไม่เกิน 30,000 บาท และต้องเป็นกรณีที่บังคับหลักประกันแล้วและไม่สามารถติดตามทรัพย์ได้ค่ะ _x000a__x000a_หากท่านมีข้อสงสัยเพิ่มเติมเกี่ยวกับเงื่อนไข แนะนำให้ติดต่อ Krungthai Contact Center 02 111 1111 กด 99 หรือ BOT Contact Center 1213 ค่ะ"/>
    <n v="3"/>
    <n v="1"/>
    <n v="5"/>
    <s v="บอทระบุเงื่อนไขของคุณสมบัติสำหรับสินเชื่อที่มีหลักประกันภายใต้มาตรการที่ 2 ได้ถูกต้อง 100% ตามเอกสารอ้างอิง ทั้งเรื่องยอดหนี้ไม่เกิน 30,000 บาท และเงื่อนไขที่ว่าต้องบังคับหลักประกันแล้วและไม่สามารถติดตามทรัพย์ได้"/>
    <n v="3"/>
    <s v="บอทตอบโดยการกางเงื่อนไขที่ถูกต้องตามเอกสารเพื่อให้ลูกค้าพิจารณาตนเอง ซึ่งเป็นไปตามหลักการ &quot;Safety Over Rejection&quot; ที่ยอมรับได้ แม้จะไม่ได้ฟันธงโดยตรงว่าลูกค้าเข้าเกณฑ์หรือไม่ แต่ข้อมูลที่ให้มีความเกี่ยวข้องกับคำถามของลูกค้าโดยตรง"/>
    <n v="5"/>
    <s v="ภาษาที่ใช้เป็นธรรมชาติ เข้าใจง่าย และจัดรูปแบบการตอ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 Context ที่เกี่ยวข้องกับมาตรการที่ 2 และคุณสมบัติของสินเชื่อที่มีหลักประกันมาตอบได้อย่างถูกต้องและตรงประเด็น"/>
    <s v="ผ่าน"/>
    <s v="บอทสามารถเพิ่มความชัดเจนได้อีกเล็กน้อยโดยการเชื่อมโยงข้อมูลที่ลูกค้าให้มา (หนี้ 25,000 บาท หลังยึดรถ) เข้ากับเงื่อนไขที่ระบุ เพื่อให้ลูกค้าเห็นภาพว่าข้อมูลของตนเองตรงกับเงื่อนไขอย่างไร เช่น &quot;จากข้อมูลที่ท่านแจ้งว่ามีหนี้เหลือ 25,000 บาทหลังยึดรถ ซึ่งเข้าข่ายเงื่อนไขยอดหนี้ไม่เกิน 30,000 บาท และเป็นกรณีที่บังคับหลักประกันแล้วและไม่สามารถติดตามทรัพย์ได้ ท่านอาจเข้าข่ายคุณสมบัติของมาตรการนี้&quot;"/>
  </r>
  <r>
    <x v="0"/>
    <s v="TC-030"/>
    <x v="1"/>
    <s v="ทดสอบการคำนวณยอดผ่อนชำระ 2% ของเงินต้นใน มาตรการที่ 3"/>
    <s v="หนี้บัตร 5 หมื่น ถ้าเปลี่ยนเป็นผ่อน 2% ตามโครงการจ่ายตัดต้น ต้องจ่ายเดือนละกี่บาท"/>
    <s v="ยอดผ่อนชำระคือ 2% ของเงินต้นคงค้าง (ประมาณ 1,000 บาท/เดือน) โดยค่างวดจะนำไปตัดเงินต้นล้วนๆ (ที่มา: khunsoo-v1_augmented.txt, บรรทัด 47-47), (ที่มา: khunsoo-v1_augmented.txt, บรรทัด 48-48)"/>
    <s v="สำหรับการผ่อนชำระภายใต้มาตรการที่ 3 “จ่าย ตัด ต้น” ของโครงการ “คุณสู้ เราช่วย” ลูกหนี้จะผ่อนชำระอยู่ที่ 2% ของเงินต้นคงค้างก่อนเข้ามาตรการค่ะ_x000a__x000a_หากมียอดหนี้ 50,000 บาท จะมียอดชำระต่อเดือนอยู่ที่ 1,000 บาทค่ะ "/>
    <n v="5"/>
    <n v="1"/>
    <n v="5"/>
    <s v="บอทตอบถูกต้องตามเอกสารที่ระบุว่าผ่อนชำระ 2% ของเงินต้นคงค้างก่อนเข้ามาตรการ และคำนวณยอดเงินได้ถูกต้อง"/>
    <n v="5"/>
    <s v="บอทตอบตรงคำถามของลูกค้าและคำนวณยอดผ่อนชำระให้ลูกค้าอย่างถูกต้อง"/>
    <n v="5"/>
    <s v="บอทใช้ภาษาที่เข้าใจง่าย กระชับ และจัดรูปแบบ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 &quot;จ่าย ตัด ต้น&quot;"/>
    <s v="ผ่าน"/>
    <s v="คำตอบดีมาก ไม่จำเป็นต้องปรับปรุง"/>
  </r>
  <r>
    <x v="0"/>
    <s v="TC-031"/>
    <x v="1"/>
    <s v="ทดสอบสิทธิประโยชน์การยกเว้นดอกเบี้ยตั้งพักใน มาตรการที่ 3"/>
    <s v="เข้าโครงการจ่ายตัดต้นแล้ว ดอกเบี้ยที่ค้างอยู่ก่อนหน้าต้องจ่ายไหม"/>
    <s v="ดอกเบี้ยจะถูกตั้งพักไว้ 3 ปี และจะได้รับยกเว้นทั้งหมดหากปฏิบัติตามเงื่อนไขโครงการครบ 3 ปี (ที่มา: khunsoo-v1_augmented.txt, บรรทัด 48-48)"/>
    <s v="สำหรับการเข้าร่วมมาตรการ &quot;จ่าย ตัด ต้น&quot; ดอกเบี้ยที่ค้างอยู่จะถูกตั้งพักไว้เป็นระยะเวลา 3 ปีค่ะ หากท่านสามารถปฏิบัติได้ตามเงื่อนไขของโครงการ ดอกเบี้ยที่พักไว้ทั้งหมดจะได้รับการยกเว้น แต่หากไม่สามารถปฏิบัติตามเงื่อนไขได้ ท่านจะต้องชำระดอกเบี้ยที่ได้รับการพักไว้ค่ะ_x000a__x000a_"/>
    <n v="5"/>
    <n v="1"/>
    <n v="5"/>
    <s v="ข้อมูลถูกต้อง 100% ตาม Context ระบุว่าดอกเบี้ยจะถูกตั้งพักไว้ 3 ปี และจะได้รับการยกเว้นทั้งหมดหากปฏิบัติตามเงื่อนไข แต่หากไม่สามารถปฏิบัติตามเงื่อนไขได้ จะต้องชำระดอกเบี้ยที่พักไว้"/>
    <n v="5"/>
    <s v="ตอบตรงคำถามของลูกค้าเกี่ยวกับดอกเบี้ยที่ค้างอยู่ก่อนหน้าเมื่อเข้าร่วมโครงการ &quot;จ่าย ตัด ต้น&quot; ได้อย่างถูกต้องและครบถ้วน"/>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มาตรการ &quot;จ่าย ตัด ต้น&quot; และตอบคำถามของลูกค้าได้อย่างสมบูรณ์"/>
    <s v="ผ่าน"/>
    <s v="ไม่มีคำแนะนำเพิ่มเติม เนื่องจากคำตอบถูกต้องและครบถ้วน"/>
  </r>
  <r>
    <x v="0"/>
    <s v="TC-032"/>
    <x v="1"/>
    <s v="ทดสอบประสิทธิภาพการลดเงินต้นใน มาตรการที่ 3"/>
    <s v="ถ้าผ่อนบัตรตามโครงการ 3 ไปเรื่อยๆ 3 ปี หนี้จะลดลงไปเยอะไหม"/>
    <s v="เงินที่ผ่อนทุกงวดจะตัดเงินต้นล้วนๆ เช่น หนี้ 50,000 บาท ผ่อนตามเกณฑ์ ครบ 3 ปี จะตัดเงินต้นได้ถึง 33,120 บาท (ที่มา: khunsoo-v1_augmented.txt, บรรทัด 47-47)"/>
    <s v="สำหรับการเข้าร่วมมาตรการที่ 3 “จ่าย ตัด ต้น” หากท่านปฏิบัติได้ตามเงื่อนไข ค่างวดที่จ่ายตลอด 3 ปีจะถูกนำไปตัดเงินต้นทั้งหมด และดอกเบี้ยที่ตั้งพักไว้จะได้รับการยกเว้นค่ะ ทั้งนี้ ท่านสามารถตกลงกับเจ้าหนี้เพื่อชำระค่างวดมากกว่าที่กำหนดได้ เพื่อตัดเงินต้นเพิ่มและปิดจบหนี้ได้เร็วขึ้นค่ะ "/>
    <n v="3"/>
    <n v="1"/>
    <n v="5"/>
    <s v="ข้อมูลที่บอทให้ถูกต้อง 100% ตาม Context โดยระบุว่าค่างวดจะนำไปตัดเงินต้นทั้งหมด และดอกเบี้ยจะได้รับการยกเว้นหากปฏิบัติตามเงื่อนไข รวมถึงการแนะนำให้ชำระมากกว่าที่กำหนดเพื่อปิดหนี้เร็วขึ้น ซึ่งทั้งหมดนี้ตรงกับเอกสารอ้างอิง"/>
    <n v="3"/>
    <s v="บอทตอบตรงประเด็นโดยอธิบายกลไกการลดหนี้ภายใต้มาตรการที่ 3 ซึ่งถือว่ายอมรับได้ตามหลักการ &quot;Safety Over Rejection&quot; แม้จะไม่ได้ให้ตัวเลขการลดหนี้ที่ชัดเจนเหมือน Expected Output แต่การกางเงื่อนไขที่ถูกต้องก็ช่วยลดความเสี่ยงจากการให้ข้อมูลผิดพลาด"/>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มาตรการที่ 3 &quot;จ่าย ตัด ต้น&quot; ซึ่งตรงกับคำถามของลูกค้าอย่างสมบูรณ์"/>
    <s v="ผ่าน"/>
    <s v="หากมีข้อมูลตัวอย่างการคำนวณการลดหนี้ที่สามารถอ้างอิงได้จาก Context ควรนำมาประกอบการอธิบายเพื่อให้ลูกค้าเห็นภาพชัดเจนยิ่งขึ้น แต่เนื่องจาก Context ที่ให้มาไม่มีการคำนวณตัวเลขที่ชัดเจน การตอบแบบกางเงื่อนไขจึงเหมาะสมที่สุด"/>
  </r>
  <r>
    <x v="0"/>
    <s v="TC-033"/>
    <x v="2"/>
    <s v="ทดสอบเงื่อนไขข้อห้ามก่อหนี้ใหม่ใน มาตรการที่ 1"/>
    <s v="&quot;ถ้าเข้าโครงการมาตรการ 1 แล้ว จะไปทำสัญญาผ่อนมือถือใหม่ได้ไหม&quot;"/>
    <s v="ไม่ได้ เนื่องจากห้ามทำสัญญาสินเชื่ออุปโภคบริโภคใหม่ใน 12 เดือนแรก หากทำจะถือว่าผิดเงื่อนไขและต้องออกจากมาตรการ (ที่มา: khunsoo-v1_augmented.txt, บรรทัด 42-42)"/>
    <s v="สำหรับการเข้าร่วมมาตรการที่ 1 “จ่ายตรง คงทรัพย์” นั้น มีเงื่อนไขระบุว่าลูกหนี้จะไม่สามารถทำสัญญาสินเชื่ออุปโภคบริโภคใหม่ได้ในระยะเวลา 12 เดือนแรกหลังจากเข้าร่วมมาตรการค่ะ "/>
    <n v="5"/>
    <n v="1"/>
    <n v="5"/>
    <s v="คำตอบของบอทถูกต้อง 100% ตามเงื่อนไขที่ระบุในเอกสารอ้างอิงว่าไม่สามารถทำสัญญาสินเชื่ออุปโภคบริโภคใหม่ได้ใน 12 เดือนแรกหลังเข้าร่วมมาตรการที่ 1"/>
    <n v="5"/>
    <s v="บอทตอบตรงประเด็นคำถามของลูกค้าและให้ข้อมูลที่ถูกต้องตามเงื่อนไขของมาตรการ"/>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คำถามเกี่ยวกับเงื่อนไขของมาตรการที่ 1"/>
    <s v="ผ่าน"/>
    <s v="ไม่มี เนื่องจากคำตอบถูกต้องและครบถ้วน"/>
  </r>
  <r>
    <x v="0"/>
    <s v="TC-034"/>
    <x v="2"/>
    <s v="ทดสอบผลกระทบและการรายงานข้อมูลต่อ NCB"/>
    <s v="&quot;เข้าโครงการคุณสู้แล้ว ประวัติในบูโรจะเสียไหม&quot;"/>
    <s v="จะถูกรายงานข้อมูลใน NCB ว่า &quot;เข้าร่วมมาตรการช่วยเหลือของรัฐ&quot; โดยมีรหัสระบุระยะเวลา 3 ปี และรหัสห้ามก่อหนี้ใหม่ 12 เดือน (ที่มา: khunsoo-v1_augmented.txt, บรรทัด 52-52)"/>
    <s v="สวัสดีค่ะ สำหรับการเข้าร่วมโครงการ “คุณสู้ เราช่วย” ในมาตรการที่ 1 และมาตรการที่ 3 นั้น จะมีการรายงานข้อมูลในเครดิตบูโร (NCB) ว่าท่านได้เข้าร่วมมาตรการค่ะ  _x000a__x000a_หากท่านต้องการสอบถามรายละเอียดเพิ่มเติม สามารถติดต่อ Krungthai Contact Center 02 111 1111 กด 99 หรือ BOT Contact Center 1213 ได้โดยตรงนะคะ"/>
    <n v="5"/>
    <n v="1"/>
    <n v="5"/>
    <s v="บอทตอบถูกต้องตามเอกสารที่ระบุว่ามาตรการที่ 1 และ 3 จะถูกรายงานข้อมูลใน NCB ว่าเข้าร่วมมาตรการ"/>
    <n v="5"/>
    <s v="บอทตอบตรงประเด็นคำถามของลูกค้า โดยให้ข้อมูลที่ถูกต้องและปลอดภัย ไม่ได้ฟันธงว่าประวัติจะเสียหรือไม่ แต่ระบุข้อเท็จจริงที่จะถูกรายงานใน NCB"/>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และสนับสนุนคำตอบของบอทอย่างครบถ้วน"/>
    <s v="ผ่าน"/>
    <s v="คำตอบของบอทดีมากแล้ว ไม่จำเป็นต้องปรับปรุง"/>
  </r>
  <r>
    <x v="0"/>
    <s v="TC-035"/>
    <x v="2"/>
    <s v="ทดสอบบทลงโทษเมื่อผิดนัดชำระภายใต้ มาตรการที่ 1"/>
    <s v="&quot;ถ้าเข้ามาตรการ 1 แล้วจ่ายค่างวดขั้นต่ำ 50% ไม่ไหว จะโดนอะไรบ้าง&quot;"/>
    <s v="หากไม่สามารถชำระค่างวดขั้นต่ำตามกำหนด จะต้องออกจากมาตรการและต้องชำระดอกเบี้ยส่วนที่ได้รับการพักไว้ทั้งหมด (ที่มา: khunsoo-v1_augmented.txt, บรรทัด 42-42)"/>
    <s v="หากท่านไม่สามารถชำระค่างวดขั้นต่ำตามที่กำหนด หรือไม่สามารถปฏิบัติตามเงื่อนไขอื่น ๆ ของมาตรการที่ 1 ได้ ท่านจะต้องออกจากมาตรการและต้องชำระดอกเบี้ยที่ได้รับการพักไว้ทั้งหมดค่ะ "/>
    <n v="5"/>
    <n v="1"/>
    <n v="5"/>
    <s v="ข้อมูลถูกต้อง 100% ตาม Context ที่ระบุเงื่อนไขของมาตรการที่ 1 ว่าหากไม่สามารถชำระค่างวดขั้นต่ำได้ตามที่กำหนด จะต้องออกจากมาตรการและชำระดอกเบี้ยที่ได้รับการพักไว้"/>
    <n v="5"/>
    <s v="ตอบตรงคำถามของลูกค้าที่สอบถามถึงผลที่จะเกิดขึ้นหากไม่สามารถชำระค่างวดขั้นต่ำของมาตรการที่ 1 ได้อย่างถูกต้องและแม่นยำ"/>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ที่ 1 และเงื่อนไขการเข้าร่วม"/>
    <s v="ผ่าน"/>
    <s v="ไม่มีคำแนะนำเพิ่มเติม เนื่องจากคำตอบถูกต้องและสมบูรณ์"/>
  </r>
  <r>
    <x v="0"/>
    <s v="TC-036"/>
    <x v="2"/>
    <s v="ทดสอบข้อควรระวังในการทำสัญญาปรับโครงสร้างหนี้"/>
    <s v="&quot;แบงก์เสนอให้จ่ายงวดละ 7,000 บาท แม้จะตึงไปหน่อยแต่ผมควรเซ็นไปก่อนไหม&quot;"/>
    <s v="ไม่ควรลงนามหากคิดว่าจ่ายไม่ไหวจริง เพราะจะทำให้การปรับโครงสร้างหนี้ในครั้งต่อไปทำได้ยากขึ้น (ที่มา: general-info-v1_augmented.txt, บรรทัด 29-29)"/>
    <s v="ขออภัยค่ะ ข้อมูลที่ท่านสอบถามไม่ปรากฏรายละเอียดเกี่ยวกับการตัดสินใจรับข้อเสนอการชำระหนี้รายงวดในลักษณะดังกล่าวในเอกสารโครงการค่ะ_x000a__x000a_เนื่องจากมาตรการของผู้ให้บริการแต่ละแห่งมีเงื่อนไขที่แตกต่างกัน ขอแนะนำให้ท่านศึกษาเงื่อนไขกับทางสถาบันการเงินโดยตรง หรือติดต่อ Krungthai Contact Center 02 111 1111 กด 99 หรือ BOT Contact Center 1213 ค่ะ"/>
    <n v="3"/>
    <n v="1"/>
    <n v="5"/>
    <s v="บอทระบุว่าข้อมูลที่สอบถามไม่ปรากฏในเอกสาร ซึ่งถูกต้องตาม Context ที่ไม่มีข้อมูลการตัดสินใจรับข้อเสนอการชำระหนี้รายงวดโดยตรง และยังให้ข้อมูลที่ถูกต้องว่ามาตรการของผู้ให้บริการแต่ละแห่งมีเงื่อนไขที่แตกต่างกัน"/>
    <n v="3"/>
    <s v="บอทไม่สามารถฟันธงให้คำแนะนำได้โดยตรงตามข้อมูลที่มี แต่เลือกที่จะแนะนำให้ลูกค้าติดต่อสถาบันการเงินโดยตรง ซึ่งเป็นการตอบแบบ Safe Response ที่ยอมรับได้และช่วยลดความเสี่ยงจากการให้ข้อมูลผิดพลาด"/>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ที่เกี่ยวข้องกับโครงการและข้อจำกัดของข้อมูลมาใช้ได้อย่างถูกต้อง"/>
    <s v="ผ่าน"/>
    <s v="คำตอบมีความปลอดภัยและถูกต้องตามหลักการ แต่หากสามารถแสดงความเข้าใจในสถานการณ์ของลูกค้า (เช่น การที่ลูกค้าคิดว่าจ่ายไม่ไหว) ก่อนที่จะแนะนำให้ติดต่อหน่วยงานที่เกี่ยวข้อง จะช่วยเพิ่มความรู้สึกเห็นอกเห็นใจได้"/>
  </r>
  <r>
    <x v="0"/>
    <s v="TC-037"/>
    <x v="2"/>
    <s v="ทดสอบข้อยกเว้นการก่อหนี้ใหม่สำหรับกลุ่ม SMEs ใน มาตรการที่ 1"/>
    <s v="&quot;ทำธุรกิจร้านอาหาร ถ้าเข้าโครงการ 1 แล้วจะกู้เงินมาหมุนเวียนในร้านเพิ่มได้ไหม&quot;"/>
    <s v="ทำได้ หากเป็นสินเชื่อธุรกิจที่จำเป็นเพื่อเสริมสภาพคล่อง โดยเจ้าหนี้จะพิจารณาความสามารถในการชำระหนี้ตามความเหมาะสม (ที่มา: khunsoo-v1_augmented.txt, บรรทัด 42-42)"/>
    <s v="สวัสดีค่ะ สำหรับมาตรการที่ 1 “จ่ายตรง คงทรัพย์” หากมีความจำเป็นต้องกู้เงินเพื่อเสริมสภาพคล่องในการทำธุรกิจ SMEs เจ้าหนี้สามารถพิจารณาให้สินเชื่อเพิ่มเติมได้ โดยจะพิจารณาจากความสามารถในการชำระหนี้ของท่านตามความเหมาะสมค่ะ_x000a__x000a_"/>
    <n v="5"/>
    <n v="1"/>
    <n v="5"/>
    <s v="คำตอบของบอทถูกต้อง 100% ตามข้อมูลอ้างอิงที่ระบุเงื่อนไขการกู้เงินเพิ่มเติมสำหรับสินเชื่อธุรกิจ SMEs ภายใต้มาตรการที่ 1"/>
    <n v="5"/>
    <s v="บอทตอบตรงประเด็นคำถามของลูกค้าเกี่ยวกับการกู้เงินเพิ่มเพื่อหมุนเวียนในร้านอาหาร (ซึ่งจัดเป็น SMEs) หากเข้าร่วมโครงการ 1 โดยให้ข้อมูลที่ถูกต้องและครบถ้วน"/>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ที่ 1 และเงื่อนไขการกู้เงินเพิ่มเติม"/>
    <s v="ผ่าน"/>
    <s v="-"/>
  </r>
  <r>
    <x v="0"/>
    <s v="TC-038"/>
    <x v="2"/>
    <s v="ทดสอบบทลงโทษกรณีแอบก่อหนี้ใหม่"/>
    <s v="&quot;ถ้าผมแอบไปเปิดบัตรเครดิตใบใหม่ช่วง 12 เดือนแรกที่เข้าโครงการ จะเป็นอะไรไหม&quot;"/>
    <s v="ถือว่าผิดเงื่อนไขสำคัญ จะต้องออกจากมาตรการทันทีและต้องชำระดอกเบี้ยที่ได้รับการพักไว้ทั้งหมด (ที่มา: khunsoo-v1_augmented.txt, บรรทัด 42-42)"/>
    <s v="หากท่านเข้าร่วมมาตรการ “จ่ายตรง คงทรัพย์” หรือ “จ่าย ตัด ต้น” ท่านจะไม่สามารถทำสัญญาสินเชื่ออุปโภคบริโภคใหม่ได้ใน 12 เดือนแรกหลังเข้าร่วมมาตรการค่ะ หากท่านก่อหนี้ใหม่ในช่วงเวลาดังกล่าว ท่านจะต้องออกจากมาตรการและต้องชำระดอกเบี้ยที่ได้รับการพักไว้ทั้งหมดค่ะ_x000a__x000a__x000a_"/>
    <n v="5"/>
    <n v="1"/>
    <n v="5"/>
    <s v="ข้อมูลที่บอทตอบถูกต้อง 100% ตามเอกสารอ้างอิง โดยระบุเงื่อนไขและผลลัพธ์ของการผิดเงื่อนไขได้อย่างครบถ้วนและแม่นยำสำหรับมาตรการที่เกี่ยวข้อง"/>
    <n v="5"/>
    <s v="บอทตอบตรงประเด็นคำถามของลูกค้าและให้ข้อมูลที่ถูกต้องเกี่ยวกับผลกระทบของการเปิดบัตรเครดิตใหม่ในช่วง 12 เดือนแรกของการเข้าร่วมโครงการ โดยระบุมาตรการที่เกี่ยวข้องและผลที่ตามมาอย่างชัดเจน"/>
    <n v="5"/>
    <s v="คำตอบของบอทใช้ภาษาที่เข้าใจง่าย กระชับ และจัดรูปแบบได้ดี ทำให้ลูกค้าสามารถเข้าใจเงื่อนไขและผลลัพธ์ได้อย่างชัดเจน"/>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เอกสาร khunsoo-v3p0.txt ในส่วนของมาตรการที่ 1 “จ่ายตรง คงทรัพย์” และมาตรการที่ 3 “จ่าย ตัด ต้น” ซึ่งเป็นข้อมูลที่เกี่ยวข้องโดยตรงกับคำถามของลูกค้า"/>
    <s v="ผ่าน"/>
    <s v="ไม่มีคำแนะนำเพิ่มเติม เนื่องจากคำตอบมีความถูกต้อง ครบถ้วน และตรงประเด็น"/>
  </r>
  <r>
    <x v="0"/>
    <s v="TC-039"/>
    <x v="3"/>
    <s v="ทดสอบการแจ้งกำหนดการสิ้นสุดของโครงการคุณสู้เราช่วย เฟส 2"/>
    <s v="&quot;โครงการคุณสู้สมัครได้ถึงเมื่อไหร่คะ กลัวไปลงทะเบียนไม่ทัน&quot;"/>
    <s v="สามารถลงทะเบียนได้ตั้งแต่วันนี้ จนถึงวันที่ 30 กันยายน 2568 (ที่มา: khunsoo-v1_augmented.txt, บรรทัด 31-31), (ที่มา: khunsoo-v1_augmented.txt, บรรทัด 50-51)"/>
    <s v="สวัสดีค่ะ สำหรับโครงการ “คุณสู้ เราช่วย” ได้มีการขยายระยะเวลาลงทะเบียนเข้าร่วมโครงการออกไปจนถึงวันที่ 30 กันยายน 2568 ค่ะ _x000a__x000a_อย่างไรก็ตาม มาตรการของผู้ให้บริการแต่ละแห่งอาจมีเงื่อนไขที่แตกต่างกัน รบกวนคุณลูกค้าศึกษารายละเอียดและคุณสมบัติก่อนลงทะเบียนนะคะ "/>
    <n v="5"/>
    <n v="1"/>
    <n v="5"/>
    <s v="บอทระบุวันสิ้นสุดการลงทะเบียนถูกต้องตามเอกสาร และเพิ่มข้อความเตือนเรื่องเงื่อนไขที่แตกต่างกันซึ่งมีอยู่ในเอกสารอ้างอิง"/>
    <n v="5"/>
    <s v="บอทตอบคำถามเรื่องวันสิ้นสุดการลงทะเบียนได้ตรงประเด็น และให้ข้อมูลเพิ่มเติมที่เป็นประโยชน์และปลอดภัย"/>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และมีข้อมูลที่ใช้ตอบคำถามได้อย่างครบถ้วน"/>
    <s v="ผ่าน"/>
    <s v="ไม่มี"/>
  </r>
  <r>
    <x v="0"/>
    <s v="TC-040"/>
    <x v="3"/>
    <s v="ทดสอบช่องทางช่วยเหลือกรณีไม่มีสมาร์ทโฟนหรือเป็นชาวต่างชาติ"/>
    <s v="&quot;ผมเป็นคนต่างชาติ ไม่มีแอป ThaiD จะสมัครโครงการคุณสู้ได้ยังไง&quot;"/>
    <s v="สามารถขอคำแนะนำและให้อำนวยความสะดวกในการลงทะเบียนได้ที่สาขา หรือ Call Center ของสถาบันการเงิน (ที่มา: khunsoo-v1_augmented.txt, บรรทัด 51-51)"/>
    <s v="ต้องขออภัยด้วยค่ะ ข้อมูลที่ท่านสอบถามไม่ปรากฏรายละเอียดเกี่ยวกับการสมัครสำหรับชาวต่างชาติหรือการใช้งานแอปพลิเคชัน ThaiD ในเงื่อนไขของโครงการค่ะ_x000a__x000a_หากท่านต้องการสอบถามข้อมูลเพิ่มเติมเกี่ยวกับคุณสมบัติและเงื่อนไขของโครงการ สามารถติดต่อได้ที่ Krungthai Contact Center 02 111 1111 กด 99 หรือ BOT Contact Center 1213 ค่ะ"/>
    <n v="3"/>
    <n v="1"/>
    <n v="5"/>
    <s v="บอทระบุอย่างถูกต้องว่าข้อมูลเกี่ยวกับการสมัครสำหรับชาวต่างชาติหรือการใช้งานแอปพลิเคชัน ThaiD ไม่ปรากฏในเงื่อนไขของโครงการ และไม่ได้ให้ข้อมูลที่ผิดพลาดหรือมโนขึ้นมา การแนะนำให้ติดต่อ Call Center เป็นการตอบสนองที่ปลอดภัยและเหมาะสมเมื่อข้อมูลเฉพาะเจาะจงไม่พร้อมใช้งาน"/>
    <n v="3"/>
    <s v="บอทไม่สามารถตอบคำถามโดยตรงเกี่ยวกับวิธีการสมัครสำหรับชาวต่างชาติได้ แต่ได้ให้แนวทางที่เกี่ยวข้องโดยการแนะนำให้ติดต่อ Call Center เพื่อสอบถามข้อมูลเพิ่มเติม ซึ่งถือเป็นการตอบแบบมีเงื่อนไขที่ยอมรับได้และช่วยลดความเสี่ยงจากการให้ข้อมูลที่ผิดพลาด"/>
    <n v="5"/>
    <s v="ภาษาที่ใช้เป็นธรรมชาติ เข้าใจง่าย และกระชับ"/>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Context ที่ให้มาเกี่ยวข้องกับโครงการและคุณสมบัติ แต่ไม่มีข้อมูลเฉพาะเจาะจงเกี่ยวกับขั้นตอนการสมัครสำหรับชาวต่างชาติหรือการใช้แอปพลิเคชัน ThaiD ดังนั้น Context จึงมีความเกี่ยวข้องกับหัวข้อหลัก แต่ไม่มีข้อมูลที่ตรงกับคำถามเฉพาะเจาะจง"/>
    <s v="ผ่าน"/>
    <s v="หากมีข้อมูลเพิ่มเติมเกี่ยวกับช่องทางการสมัครทั่วไปในเอกสารอ้างอิง บอทอาจสามารถให้คำแนะนำที่เฉพาะเจาะจงมากขึ้นได้ แม้ว่าจะไม่มีรายละเอียดสำหรับชาวต่างชาติโดยตรงก็ตาม"/>
  </r>
  <r>
    <x v="1"/>
    <s v="TC-041"/>
    <x v="4"/>
    <s v="ทดสอบการแนะนำมิติการประเมินตนเองภายใต้กลุ่ม Assessment"/>
    <s v="&quot;เริ่มหมุนเงินไม่ทัน อยากเตรียมตัวแก้หนี้ต้องดูอะไรบ้าง&quot;"/>
    <s v="ต้องพิจารณารายได้หลังหักค่าใช้จ่ายต่อเดือน รายรับที่เปลี่ยนแปลงไป และความสามารถในการจ่ายหนี้ในระยะเวลาที่เหมาะสม (ที่มา: ktb-info-1576-v3p1.txt, บรรทัด 33-33)"/>
    <s v="สวัสดีค่ะ สำหรับการเตรียมตัวแก้หนี้ ท่านควรศึกษาข้อมูลโครงการ “คุณสู้ เราช่วย” ซึ่งมีมาตรการช่วยเหลือลูกหนี้หลายรูปแบบ เช่น มาตรการจ่ายตรงคงทรัพย์, จ่ายปิดจบ หรือจ่ายตัดต้น โดยแต่ละมาตรการมีเงื่อนไขและคุณสมบัติที่แตกต่างกันค่ะ _x000a__x000a_ท่านสามารถศึกษารายละเอียด คุณสมบัติ และเงื่อนไขของผู้ให้บริการแต่ละแห่งก่อนลงทะเบียนเข้าร่วมโครงการได้ค่ะ "/>
    <n v="3"/>
    <n v="1"/>
    <n v="5"/>
    <s v="ข้อมูลเกี่ยวกับโครงการ “คุณสู้ เราช่วย” และมาตรการต่างๆ รวมถึงคำแนะนำให้ศึกษาเงื่อนไขและคุณสมบัติถูกต้องตามเอกสารอ้างอิง 100%"/>
    <n v="3"/>
    <s v="คำตอบของบอทไม่ได้ให้คำแนะนำโดยตรงเกี่ยวกับสิ่งที่ลูกค้าควรพิจารณาในแง่ของการประเมินสถานะทางการเงินส่วนบุคคล (เช่น รายได้ ค่าใช้จ่าย) ตามที่ Expected Output ระบุ แต่เลือกที่จะแนะนำโครงการช่วยเหลือหนี้ ซึ่งเป็นแนวทางที่เกี่ยวข้องและปลอดภัยในการแก้ปัญหาหนี้ ถือว่ายอมรับได้ตามหลัก Safety Over Rejection ที่ให้คะแนนอย่างน้อย 3 หากบอทกางเงื่อนไขที่ถูกต้อง"/>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คุณสู้ เราช่วย” และมาตรการต่างๆ ที่บอทกล่าวถึง"/>
    <s v="ผ่าน"/>
    <s v="บอทควรเพิ่มคำแนะนำเกี่ยวกับการประเมินสถานะทางการเงินส่วนบุคคล เช่น การพิจารณารายได้หลังหักค่าใช้จ่ายต่อเดือน และความสามารถในการจ่ายหนี้ เพื่อตอบคำถาม &quot;ต้องดูอะไรบ้าง&quot; ให้ครอบคลุมมากยิ่งขึ้น นอกเหนือจากการแนะนำโครงการช่วยเหลือหนี้"/>
  </r>
  <r>
    <x v="1"/>
    <s v="TC-042"/>
    <x v="4"/>
    <s v="ทดสอบขั้นตอนการรวบรวมข้อมูลหนี้เพื่อเตรียมตัวเจรจา"/>
    <s v="&quot;มีหนี้หลายที่มาก จะเริ่มรวบรวมข้อมูลยังไงให้พร้อมคุยกับธนาคาร&quot;"/>
    <s v="รวบรวมข้อมูลหนี้ทุกประเภท ระบุยอดคงเหลือ อัตราดอกเบี้ยต่อปี และวันครบกำหนดชำระเพื่อให้เห็นภาพรวมยอดหนี้ทั้งหมด (ที่มา: ktb-info-1574-v3p1.txt, บรรทัด 23-23)"/>
    <s v="สวัสดีค่ะ ก่อนจะเริ่มพูดคุยกับธนาคารเพื่อปรับโครงสร้างหนี้ แนะนำให้คุณพิจารณาสถานการณ์ทางการเงินของตนเองก่อน ดังนี้ค่ะ_x000a__x000a_1. ตรวจสอบรายได้หลังหักค่าใช้จ่ายต่อเดือนว่าเหลือเท่าไหร่_x000a_2. ประเมินรายรับที่เปลี่ยนแปลงไป และพิจารณาว่าสามารถจ่ายหนี้ได้มากน้อยเพียงใดและในระยะเวลาเท่าใด_x000a_3. ศึกษาเงื่อนไขการปรับโครงสร้างหนี้อย่างละเอียด เพื่อเลือกทางเลือกที่เหมาะสมกับความสามารถในการชำระหนี้ของคุณค่ะ_x000a__x000a_"/>
    <n v="3"/>
    <n v="1"/>
    <n v="5"/>
    <s v="ข้อมูลที่บอทให้มาถูกต้อง 100% ตาม Context ในส่วนของสิ่งที่ควรพิจารณาก่อนคุยกับธนาคาร"/>
    <n v="3"/>
    <s v="บอทตอบตรงประเด็นในแง่ของการให้คำแนะนำเบื้องต้นในการเตรียมตัวก่อนคุยกับธนาคาร แม้ว่าจะไม่ได้ระบุถึงการรวบรวมข้อมูลหนี้แต่ละประเภทโดยละเอียดตาม Expected Output แต่ข้อมูลที่ให้มาก็เป็นส่วนหนึ่งของการเตรียมความพร้อมที่ถูกต้องและเป็นประโยชน์"/>
    <n v="5"/>
    <s v="ภาษาเป็นธรรมชาติ สั้นกระชับ และจัดรูปแบบเป็นข้อๆ ทำให้อ่านเข้าใจง่าย"/>
    <s v="[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tb-info-1576-v3p1.txt | lines: 1-17]_x000a_ปรับโครงสร้างหนี้และพักหนี้บัตรเครดิต ทางออกปัญหาหนี้ท่วม เลี่ยงการผิดนัดชำระ_x000a__x000a_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_x000a__x000a_Highlight_x000a_ปรับโครงสร้างหนี้ คืออะไร? ทางออกหนี้ล้นในช่วงวิกฤต_x000a_ปรับโครงสร้างหนี้ มีวิธีใดบ้าง?_x000a_ขั้นตอนการปรับโครงสร้างหนี้_x000a_ข้อดีและข้อควรระวังของการปรับโครงสร้างหนี้ มีอะไรบ้าง?_x000a_ตัวอย่างกรณีที่ควรปรับโครงสร้างหนี้_x000a__x000a_-----*****-----_x000a__x000a_ปรับโครงสร้างหนี้ คืออะไร? ทางออกหนี้ล้นในช่วงวิกฤต_x000a_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_x000a__x000a_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คำถามของลูกค้าและคำตอบของบอท"/>
    <s v="ผ่าน"/>
    <s v="เพื่อให้คำตอบครอบคลุมมากขึ้น บอทอาจเพิ่มคำแนะนำให้ลูกค้ารวบรวมข้อมูลเฉพาะของหนี้แต่ละประเภท เช่น ยอดคงเหลือ อัตราดอกเบี้ย และวันครบกำหนดชำระ หากมีข้อมูลดังกล่าวใน Context ที่สามารถอ้างอิงได้"/>
  </r>
  <r>
    <x v="1"/>
    <s v="TC-043"/>
    <x v="4"/>
    <s v="ทดสอบความถูกต้องของรายการเอกสารที่จำเป็น"/>
    <s v="&quot;จะไปขอปรับโครงสร้างหนี้ ต้องเตรียมเอกสารอะไรไปบ้าง&quot;"/>
    <s v="เตรียมบัตรประชาชน สลิปเงินเดือน รายการเดินบัญชี ยอดหนี้ รายงานเครดิตบูโร (NCB) และเอกสารหลักทรัพย์หากมี (ที่มา: ktb-info-1574-v3p1.txt, บรรทัด 25-25)"/>
    <s v="ขออภัยค่ะ ข้อมูลเรื่องเอกสารที่ต้องใช้ในการขอปรับโครงสร้างหนี้ไม่ได้ระบุไว้ในรายละเอียดโครงการค่ะ_x000a__x000a_เนื่องจากมาตรการของผู้ให้บริการแต่ละแห่งมีเงื่อนไขที่แตกต่างกัน แนะนำให้คุณลูกค้าศึกษารายละเอียดและติดต่อสอบถามกับสถาบันการเงินของท่านโดยตรง หรือติดต่อ Krungthai Contact Center 02 111 1111 กด 99 หรือ BOT Contact Center 1213 ค่ะ"/>
    <n v="5"/>
    <n v="1"/>
    <n v="5"/>
    <s v="บอทตอบตามข้อมูลที่มีใน Context ว่าไม่พบข้อมูลเอกสารที่ต้องใช้ และแนะนำให้ติดต่อสถาบันการเงิน ซึ่งสอดคล้องกับคำแนะนำใน Context ที่ระบุว่ามาตรการแต่ละแห่งมีเงื่อนไขแตกต่างกันและให้ศึกษาข้อมูลเพิ่มเติม"/>
    <n v="5"/>
    <s v="บอทตอบตรงประเด็นโดยแจ้งว่าไม่มีข้อมูลที่ร้องขอและให้คำแนะนำที่เหมาะสมในการหาข้อมูลเพิ่มเติม"/>
    <n v="5"/>
    <s v="ภาษาที่ใช้เข้าใจง่าย ชัดเจน และกระชับ"/>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Context ที่ดึงมาเกี่ยวข้องกับโครงการปรับโครงสร้างหนี้ แต่ไม่มีข้อมูลเฉพาะเจาะจงเกี่ยวกับเอกสารที่ต้องใช้"/>
    <s v="ผ่าน"/>
    <s v="หากมีข้อมูลเอกสารที่ต้องใช้ ควรระบุให้ลูกค้าทราบโดยตรง แต่ในกรณีที่ไม่มีข้อมูล การแนะนำให้ติดต่อสถาบันการเงินโดยตรงเป็นคำตอบที่เหมาะสมที่สุด"/>
  </r>
  <r>
    <x v="1"/>
    <s v="TC-044"/>
    <x v="4"/>
    <s v="ทดสอบการแนะนำช่องทางเริ่มต้นการเจรจา"/>
    <s v="&quot;ถ้าอยากคุยเรื่องปัญหาหนี้ ต้องติดต่อใครในธนาคาร&quot;"/>
    <s v="ให้ติดต่อเจรจากับธนาคารหรือสถาบันการเงินที่เป็นเจ้าหนี้โดยตรง เพื่อแจ้งสถานะทางการเงินและขอคำปรึกษา (ที่มา: ktb-info-1576-v3p1.txt, บรรทัด 36-36)"/>
    <s v="ขออภัยค่ะ ข้อมูลที่ท่านสอบถามมาไม่ปรากฏรายละเอียดเกี่ยวกับช่องทางการติดต่อเจ้าหน้าที่ธนาคารโดยตรงในเอกสารนี้ค่ะ_x000a__x000a_หากท่านมีข้อสงสัยเพิ่มเติม แนะนำให้ติดต่อ Krungthai Contact Center 02 111 1111 กด 99 หรือ BOT Contact Center 1213 เพื่อสอบถามข้อมูลโดยตรงนะคะ"/>
    <n v="1"/>
    <n v="0"/>
    <n v="1"/>
    <s v="Chatbot ระบุถูกต้องว่าข้อมูลช่องทางการติดต่อเจ้าหน้าที่ธนาคารโดยตรงไม่ปรากฏในเอกสารที่ให้มา แต่ได้ให้ข้อมูลเบอร์ติดต่อ Krungthai Contact Center และ BOT Contact Center ซึ่งไม่มีอยู่ใน Context ที่ให้มา ถือเป็นการ Hallucination ข้อมูล"/>
    <n v="2"/>
    <s v="คำตอบพยายามตอบคำถามเรื่องช่องทางการติดต่อ แต่ข้อมูลที่ให้มาเป็นข้อมูลที่ Hallucinate ทำให้ความน่าเชื่อถือและความตรงประเด็นลดลง"/>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hatbot ดึงข้อมูลมาได้ถูกต้องว่าไม่มีข้อมูลช่องทางการติดต่อโดยตรงใน Context ที่ให้มา"/>
    <s v="ไม่ผ่าน"/>
    <s v="Chatbot ควรตอบเฉพาะข้อมูลที่มีอยู่ใน Context เท่านั้น หากไม่มีข้อมูลที่เกี่ยวข้อง ควรแจ้งให้ผู้ใช้ทราบว่าไม่พบข้อมูลในเอกสาร และไม่ควรให้ข้อมูลที่ Hallucinate ขึ้นมาเอง"/>
  </r>
  <r>
    <x v="1"/>
    <s v="TC-045"/>
    <x v="4"/>
    <s v="ทดสอบการนำเสนอข้อมูลเพื่อวางแผนเงื่อนไขใหม่"/>
    <s v="&quot;ตอนไปคุยกับแบงก์ต้องบอกข้อมูลอะไรเขาบ้าง เขาถึงจะช่วยเรา&quot;"/>
    <s v="นำเสนอข้อมูลรายได้ รายจ่าย และหนี้สินที่มี เพื่อให้ธนาคารช่วยวางแผนเงื่อนไขใหม่ที่เหมาะสมกับความสามารถ (ที่มา: ktb-info-1576-v3p1.txt, บรรทัด 36-36)"/>
    <s v="ขออภัยค่ะ ข้อมูลที่ท่านสอบถามเรื่องรายละเอียดหรือเอกสารที่ต้องใช้ในการติดต่อธนาคาร ไม่ได้ระบุไว้ในเงื่อนไขของโครงการค่ะ_x000a__x000a_เนื่องจากมาตรการของผู้ให้บริการแต่ละแห่งมีเงื่อนไขที่แตกต่างกัน แนะนำให้ท่านศึกษารายละเอียดและเงื่อนไขก่อนลงทะเบียน หรือติดต่อ Krungthai Contact Center 02 111 1111 กด 99 หรือ BOT Contact Center 1213 ค่ะ"/>
    <n v="3"/>
    <n v="1"/>
    <n v="5"/>
    <s v="บอทระบุถูกต้องว่าข้อมูลที่ลูกค้าสอบถามไม่ได้ระบุไว้ในเงื่อนไขของโครงการจาก Context ที่ให้มา และคำแนะนำให้ศึกษาเงื่อนไขเพิ่มเติมก็ถูกต้องตาม Context"/>
    <n v="3"/>
    <s v="บอทไม่สามารถฟันธงข้อมูลที่ลูกค้าต้องการได้โดยตรง เนื่องจากไม่มีข้อมูลใน Context แต่ได้ให้คำแนะนำที่ถูกต้องและปลอดภัยในการติดต่อหน่วยงานที่เกี่ยวข้อง ซึ่งถือว่ายอมรับได้ตามเกณฑ์ &quot;Safety Over Rejection&quot;"/>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บอทระบุได้ถูกต้องว่าข้อมูลที่ลูกค้าต้องการไม่ได้อยู่ใน Context ที่ดึงมา แต่ก็ดึงข้อมูลส่วนที่เกี่ยวข้องกับการแนะนำให้ศึกษาเงื่อนไขเพิ่มเติมมาได้"/>
    <s v="ผ่าน"/>
    <s v="หากมีข้อมูลเพิ่มเติมเกี่ยวกับเอกสารหรือข้อมูลที่ต้องเตรียมในการติดต่อธนาคาร ควรนำมาเพิ่มใน Context เพื่อให้บอทสามารถตอบคำถามได้ตรงประเด็นมากขึ้น"/>
  </r>
  <r>
    <x v="1"/>
    <s v="TC-046"/>
    <x v="4"/>
    <s v="ทดสอบการให้คำแนะนำเรื่องช่วงเวลาที่ควรเริ่มปรึกษา"/>
    <s v="&quot;ค้างชำระมานิดหน่อยเอง ควรรีบไปคุยเลยไหม หรือรอให้เป็นหนี้เสียก่อน&quot;"/>
    <s v="ควรเริ่มทำทันทีเมื่อพบว่าความสามารถในการชำระหนี้เริ่มเปลี่ยนไป หรือได้รับผลกระทบจากรายได้ที่ลดลง (ที่มา: ktb-info-1576-v3p1.txt, บรรทัด 38-38)"/>
    <s v="สวัสดีค่ะ สำหรับกรณีที่คุณสอบถามเข้ามา ข้อมูลในโครงการ “คุณสู้ เราช่วย” ระบุว่ามาตรการแต่ละแห่งมีเงื่อนไขที่แตกต่างกันค่ะ _x000a__x000a_หากคุณต้องการทราบรายละเอียดหรือแนวทางปฏิบัติที่ชัดเจนสำหรับกรณีของคุณ ดิฉันแนะนำให้คุณติดต่อสอบถามกับทางสถาบันการเงินเจ้าหนี้โดยตรง หรือติดต่อ Krungthai Contact Center 02 111 1111 กด 99 หรือ BOT Contact Center 1213 เพื่อรับคำแนะนำที่ถูกต้องที่สุดค่ะ"/>
    <n v="3"/>
    <n v="1"/>
    <n v="3"/>
    <s v="บอทตอบถูกต้องตามข้อมูลใน Context ที่ระบุว่ามาตรการแต่ละแห่งมีเงื่อนไขที่แตกต่างกัน และเลือกที่จะไม่ฟันธงแต่แนะนำให้ติดต่อหน่วยงานที่เกี่ยวข้อง ซึ่งถือเป็น Safe Response และไม่หักคะแนนตามเกณฑ์"/>
    <n v="3"/>
    <s v="บอทไม่ได้ฟันธงคำตอบโดยตรง แต่เลือกที่จะแนะนำให้ลูกค้าติดต่อหน่วยงานที่เกี่ยวข้องเพื่อรับคำแนะนำที่ถูกต้องที่สุด ซึ่งเป็นแนวทางที่ยอมรับได้เพื่อลดความเสี่ยงจากการให้ข้อมูลผิดพลาด เนื่องจากข้อมูลที่ให้มาไม่เพียงพอต่อการฟันธง"/>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Context ที่ดึงมาเกี่ยวข้องกับโครงการ &quot;คุณสู้ เราช่วย&quot; และระบุว่าเงื่อนไขแตกต่างกัน ซึ่งบอทนำมาใช้ในการตอบ แต่ Context ที่ให้มาไม่ได้มีข้อมูลที่สามารถตอบคำถามของลูกค้าได้โดยตรงว่า &quot;ควรรีบไปคุยเลยไหม หรือรอให้เป็นหนี้เสียก่อน&quot;"/>
    <s v="ผ่าน"/>
    <s v="หากมีข้อมูลเพิ่มเติมที่สามารถให้คำแนะนำที่ชัดเจนเกี่ยวกับช่วงเวลาที่เหมาะสมในการติดต่อเจ้าหนี้เมื่อเริ่มมีการค้างชำระ ควรนำมาใช้เพื่อให้คำตอบตรงประเด็นมากขึ้น"/>
  </r>
  <r>
    <x v="1"/>
    <s v="TC-047"/>
    <x v="4"/>
    <s v="ทดสอบการให้ข้อมูลผลกระทบต่อเครดิตบูโรในการปรึกษาเบื้องต้น"/>
    <s v="&quot;ปรับโครงสร้างหนี้ตอนนี้ จะทำให้เสียประวัติในบูโรมากไหม&quot;"/>
    <s v="หากขอปรับโครงสร้างหนี้ก่อนผิดนัดชำระ จะยังไม่ส่งผลต่อเครดิตมากนัก และสามารถคาดหวังการฟื้นเครดิตได้ (ที่มา: ktb-info-1576-v3p1.txt, บรรทัด 39-39)"/>
    <s v="สวัสดีค่ะ สำหรับมาตรการในโครงการ “คุณสู้ เราช่วย” หากท่านเข้าร่วมมาตรการที่ 1 “จ่ายตรง คงทรัพย์” หรือมาตรการที่ 3 “จ่าย ตัด ต้น” จะมีการรายงานข้อมูลใน NCB ว่าท่านได้เข้าร่วมมาตรการค่ะ_x000a__x000a__x000a_"/>
    <n v="3"/>
    <n v="1"/>
    <n v="5"/>
    <s v="ข้อมูลถูกต้อง 100% ตาม Context ที่ระบุว่ามาตรการที่ 1 และ 3 จะถูกรายงานข้อมูลใน NCB ว่าเข้าร่วมมาตรการ"/>
    <n v="3"/>
    <s v="บอทตอบตรงประเด็นโดยระบุว่าการเข้าร่วมมาตรการจะถูกรายงานใน NCB ซึ่งเกี่ยวข้องกับคำถามเรื่องประวัติในบูโร แม้จะไม่ได้ฟันธงว่า &quot;เสียประวัติมากไหม&quot; แต่เป็นการกางเงื่อนไขที่ถูกต้องให้ลูกค้าพิจารณาเอง ซึ่งยอมรับได้ตามหลัก Safety Over Rejection"/>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และข้อมูลที่บอทตอบ"/>
    <s v="ผ่าน"/>
    <s v="คำตอบสามารถให้ข้อมูลเพิ่มเติมเกี่ยวกับผลกระทบของการถูกรายงานใน NCB ได้ หากมีข้อมูลใน Context ที่สนับสนุน เช่น การรายงานนี้ไม่ได้หมายถึงประวัติเสียเสมอไปหากปฏิบัติตามเงื่อนไข"/>
  </r>
  <r>
    <x v="1"/>
    <s v="TC-048"/>
    <x v="4"/>
    <s v="ทดสอบรูปแบบการยื่นคำร้องขอปรึกษาที่เป็นทางการ"/>
    <s v="&quot;การเจรจาปากเปล่ากับแบงก์ถือว่าใช้ได้เลยไหม หรือต้องทำเป็นหนังสือ&quot;"/>
    <s v="ควรทำหนังสือขอปรับโครงสร้างหนี้ส่งไปยังธนาคาร เพื่อให้พิจารณาตามทางเลือกหรือข้อเสนอที่เหมาะสม (ที่มา: ktb-info-v3p0.txt, บรรทัด 52-52)"/>
    <s v="ขออภัยค่ะ ข้อมูลที่ท่านสอบถามเกี่ยวกับผลทางกฎหมายของการเจรจาปากเปล่ากับธนาคาร ไม่ได้ถูกระบุไว้ในรายละเอียดของโครงการค่ะ_x000a__x000a_หากท่านมีข้อสงสัยเพิ่มเติม สามารถติดต่อสอบถามได้ที่ Krungthai Contact Center 02 111 1111 กด 99 หรือ BOT Contact Center 1213 ค่ะ"/>
    <n v="3"/>
    <n v="1"/>
    <n v="5"/>
    <s v="บอทตอบถูกต้องว่าข้อมูลที่ลูกค้าสอบถามไม่ได้ระบุไว้ในรายละเอียดของโครงการ ซึ่งสอดคล้องกับ Context ที่ให้มา"/>
    <n v="3"/>
    <s v="บอทตอบตรงประเด็นว่าข้อมูลไม่พบในเอกสาร และแนะนำช่องทางการติดต่อเพิ่มเติม ซึ่งเป็นการตอบที่ปลอดภัยและเหมาะสมเมื่อไม่มีข้อมูลที่ชัดเจนใน Context"/>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ประเมินได้ถูกต้องว่า Context ที่ให้มาไม่มีข้อมูลที่ตอบคำถามของลูกค้าโดยตรง"/>
    <s v="ผ่าน"/>
    <s v="ไม่มี"/>
  </r>
  <r>
    <x v="1"/>
    <s v="TC-049"/>
    <x v="4"/>
    <s v="ทดสอบหลักการเปรียบเทียบข้อเสนอในกลุ่ม Consultation"/>
    <s v="&quot;มีธนาคารเสนอช่วยหลายที่ จะรู้ได้ยังไงว่าที่ไหนดีที่สุด&quot;"/>
    <s v="ให้ศึกษาและเปรียบเทียบอัตราดอกเบี้ย ระยะเวลาผ่อน เงื่อนไข และค่าธรรมเนียม เพื่อเลือกข้อเสนอที่คุ้มค่าที่สุด (ที่มา: ktb-info-1574-v3p1.txt, บรรทัด 23-23)"/>
    <s v="สวัสดีค่ะ สำหรับมาตรการของผู้ให้บริการแต่ละแห่งจะมีเงื่อนไขที่แตกต่างกันค่ะ ดังนั้น เพื่อให้ได้ข้อมูลที่เหมาะสมที่สุด ดิฉันแนะนำให้คุณลูกค้าโปรดศึกษารายละเอียด คุณสมบัติ และเงื่อนไขของผู้ให้บริการแต่ละแห่งก่อนตัดสินใจลงทะเบียนเข้าร่วมโครงการนะคะ "/>
    <n v="3"/>
    <n v="1"/>
    <n v="5"/>
    <s v="บอทตอบถูกต้องตามข้อมูลอ้างอิงที่ระบุว่ามาตรการของผู้ให้บริการแต่ละแห่งมีเงื่อนไขที่แตกต่างกัน และแนะนำให้ลูกค้าศึกษาคุณสมบัติและเงื่อนไขก่อนตัดสินใจ ซึ่งเป็นไปตามหลักการ Safe Response"/>
    <n v="3"/>
    <s v="บอทไม่ได้ฟันธงหรือเปรียบเทียบข้อเสนอให้ลูกค้าโดยตรง แต่เลือกที่จะกางเงื่อนไขสำคัญและแนะนำให้ลูกค้าพิจารณาตนเอง ซึ่งถือว่ายอมรับได้ตามเกณฑ์การประเมินเพื่อลดความเสี่ยงจากการให้ข้อมูลผิดพลาด"/>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และคำตอบของบอท"/>
    <s v="ผ่าน"/>
    <s v="บอทควรแนะนำลูกค้าเพิ่มเติมว่าควรเปรียบเทียบอะไรบ้าง เช่น อัตราดอกเบี้ย ระยะเวลาผ่อน เงื่อนไข และค่าธรรมเนียม เพื่อให้ลูกค้าสามารถเลือกข้อเสนอที่คุ้มค่าที่สุดได้"/>
  </r>
  <r>
    <x v="1"/>
    <s v="TC-050"/>
    <x v="4"/>
    <s v="ทดสอบการอธิบายความหมายและเป้าหมายการเจรจา"/>
    <s v="&quot;การปรับโครงสร้างหนี้คืออะไรกันแน่ มันจะช่วยให้หนี้หมดได้จริงไหม&quot;"/>
    <s v="คือการปรับเปลี่ยนเงื่อนไขชำระหนี้ใหม่ให้เหมาะกับความสามารถ ช่วยให้จ่ายไหวตามกำลังและป้องกันการถูกฟ้องร้องยึดทรัพย์ (ที่มา: ktb-info-1576-v3p1.txt, บรรทัด 32-32)"/>
    <s v="สวัสดีค่ะ การปรับโครงสร้างหนี้ภายใต้โครงการ “คุณสู้ เราช่วย” คือมาตรการช่วยเหลือลูกหนี้โดยการปรับเงื่อนไขการผ่อนชำระให้ผ่อนปรนขึ้น เช่น การลดค่างวด การพักดอกเบี้ยไว้ 3 ปี หรือการนำค่างวดไปตัดเงินต้นทั้งหมด เพื่อช่วยให้ลูกหนี้สามารถปิดจบหนี้ได้เร็วขึ้นค่ะ_x000a__x000a__x000a__x000a_"/>
    <n v="5"/>
    <n v="1"/>
    <n v="5"/>
    <s v="บอทอธิบายการปรับโครงสร้างหนี้โดยอ้างอิงจากมาตรการต่างๆ ในโครงการ &quot;คุณสู้ เราช่วย&quot; ได้ถูกต้องตามเอกสาร เช่น การลดค่างวด การพักดอกเบี้ย และการนำค่างวดไปตัดเงินต้น ซึ่งสอดคล้องกับรายละเอียดของมาตรการที่ 1 และ 3 และวัตถุประสงค์ในการช่วยให้ลูกหนี้ปิดจบหนี้ได้เร็วขึ้น"/>
    <n v="5"/>
    <s v="บอทตอบคำถามตรงประเด็นทั้งสองส่วน คือ &quot;การปรับโครงสร้างหนี้คืออะไร&quot; และ &quot;มันจะช่วยให้หนี้หมดได้จริงไหม&quot; โดยอธิบายกลไกการช่วยเหลือที่นำไปสู่การปิดจบหนี้ได้เร็วขึ้น ซึ่งเป็นการตอบที่เหมาะสมและปลอดภัย"/>
    <n v="5"/>
    <s v="ภาษาที่ใช้เป็นธรรมชาติ สั้นกระชับ และเข้าใจง่าย จัดรูปแบบ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และโครงการ &quot;คุณสู้ เราช่วย&quot; ซึ่งเป็นข้อมูลที่บอทใช้ในการตอบ"/>
    <s v="ผ่าน"/>
    <s v="-"/>
  </r>
  <r>
    <x v="1"/>
    <s v="TC-051"/>
    <x v="5"/>
    <s v="ทดสอบการอธิบายความหมายและข้อดีของการรวมหนี้เป็นก้อนเดียว"/>
    <s v="&quot;มีหนี้บัตรเครดิตหลายใบ วุ่นวายมาก อยากรวมเป็นที่เดียวให้จบๆ ทำได้ไหม&quot;"/>
    <s v="ทำได้ เรียกว่า &quot;สินเชื่อรวมหนี้&quot; คือการนำเงินกู้ก้อนใหม่ไปปิดหนี้เดิมทั้งหมด เพื่อให้เหลือยอดผ่อนที่เดียว ช่วยให้บริหารจัดการเงินง่ายขึ้นและดอกเบี้ยถูกลง (ที่มา: ktb-info-1574-v3p1.txt, บรรทัด 15-15)"/>
    <s v="สวัสดีค่ะ สำหรับการรวมหนี้บัตรเครดิต โครงการ “คุณสู้ เราช่วย” มีมาตรการที่เกี่ยวข้องดังนี้ค่ะ_x000a__x000a_1. หากท่านมีหนี้บ้านหรือหนี้รถที่เข้าเงื่อนไข สามารถพิจารณาเข้าร่วมมาตรการรวมหนี้ได้ภายใต้ระดับความเสี่ยงที่สถาบันการเงินรับได้ค่ะ _x000a_2. หากเป็นหนี้เสีย (NPL) ของบัตรเครดิต ยอดหนี้ไม่เกิน 50,000 บาทต่อบัญชี สามารถเข้าร่วมมาตรการ “จ่าย ตัด ต้น” เพื่อปรับโครงสร้างหนี้ได้ค่ะ _x000a__x000a_ทั้งนี้ มาตรการของผู้ให้บริการแต่ละแห่งมีเงื่อนไขแตกต่างกัน โปรดศึกษารายละเอียดและคุณสมบัติก่อนลงทะเบียนนะคะ "/>
    <n v="5"/>
    <n v="1"/>
    <n v="5"/>
    <s v="บอทให้ข้อมูลมาตรการที่เกี่ยวข้องกับการรวมหนี้บัตรเครดิตได้อย่างถูกต้องตามเอกสารอ้างอิง โดยเฉพาะมาตรการที่ 1 ที่ระบุถึงการรวมหนี้บัตรเครดิตกับหนี้บ้าน/รถ และมาตรการที่ 3 สำหรับหนี้เสียบัตรเครดิต เงื่อนไขที่บอทระบุถูกต้องทั้งหมด"/>
    <n v="5"/>
    <s v="บอทตอบตรงประเด็นคำถามของลูกค้าที่ต้องการรวมหนี้บัตรเครดิต โดยนำเสนอมาตรการที่เกี่ยวข้องจากโครงการ &quot;คุณสู้ เราช่วย&quot; ซึ่งเป็นการตอบแบบกางเงื่อนไขที่ถูกต้องเพื่อให้ลูกค้าพิจารณาตนเอง ถือว่ายอมรับได้และช่วยลดความเสี่ยงจากการให้ข้อมูลผิดพลาด"/>
    <n v="5"/>
    <s v="บอทใช้ภาษาที่เข้าใจง่าย สั้นกระชับ และจัดรูปแบบการนำเสนอเป็นข้อๆ ทำให้ผู้อ่านเข้าใจได้ทันที"/>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รวมหนี้บัตรเครดิตในโครงการ &quot;คุณสู้ เราช่วย&quot; และครอบคลุมข้อมูลที่บอทใช้ตอบทั้งหมด"/>
    <s v="ผ่าน"/>
    <s v="ไม่มีคำแนะนำเพิ่มเติม เนื่องจากคำตอบมีความถูกต้อง ตรงประเด็น และเข้าใจง่าย"/>
  </r>
  <r>
    <x v="1"/>
    <s v="TC-052"/>
    <x v="5"/>
    <s v="ทดสอบความเข้าใจเรื่องการเปลี่ยนประเภทหนี้ (Debt Conversion)"/>
    <s v="&quot;จ่ายขั้นต่ำบัตรเครดิต 16% ไม่จบสักที เปลี่ยนเป็นเงินกู้ผ่อนรายเดือนได้ไหม&quot;"/>
    <s v="ทำได้ โดยเปลี่ยนเป็นสินเชื่อแบบมีกำหนดระยะเวลา (Term Loan) ที่มีดอกเบี้ยต่ำลงและกำหนดเวลาปิดจบที่ชัดเจน แต่ต้องมั่นใจว่าผ่อนค่างวดใหม่ไหว (ที่มา: ktb-info-v3p0.txt, บรรทัด 43-43)"/>
    <s v="สวัสดีค่ะ สำหรับการเปลี่ยนหนี้บัตรเครดิตเป็นเงินกู้ผ่อนรายเดือน หากท่านมีสถานะเป็นหนี้เสีย (NPL) ณ วันที่ 31 ตุลาคม 2567 และมียอดหนี้ไม่เกิน 50,000 บาทต่อบัญชี ท่านสามารถเข้าร่วมมาตรการที่ 3 “จ่าย ตัด ต้น” เพื่อปรับโครงสร้างหนี้เป็นแบบผ่อนชำระรายงวดได้ค่ะ _x000a__x000a_ทั้งนี้ มาตรการของผู้ให้บริการแต่ละแห่งมีเงื่อนไขแตกต่างกัน โปรดศึกษารายละเอียดและเงื่อนไขก่อนลงทะเบียนนะคะ หากมีข้อสงสัยเพิ่มเติม สามารถติดต่อ Krungthai Contact Center 02 111 1111 กด 99 หรือ BOT Contact Center 1213 ค่ะ"/>
    <n v="3"/>
    <n v="1"/>
    <n v="5"/>
    <s v="บอทระบุมาตรการที่ 3 “จ่าย ตัด ต้น” และเงื่อนไขคุณสมบัติของลูกหนี้ (สถานะหนี้เสีย NPL ณ วันที่ 31 ต.ค. 67 และยอดหนี้ไม่เกิน 50,000 บาทต่อบัญชี) ได้ถูกต้องตามเอกสารอ้างอิง 100% รวมถึงการแจ้งให้ศึกษาเงื่อนไขเพิ่มเติมก็ถูกต้องตามเอกสาร"/>
    <n v="3"/>
    <s v="บอทตอบตรงประเด็นโดยแนะนำมาตรการที่เกี่ยวข้องกับการเปลี่ยนหนี้บัตรเครดิตเป็นเงินกู้ผ่อนรายเดือน และเลือกที่จะไม่ฟันธงปฏิเสธลูกค้าโดยตรง แต่ใช้วิธีทวนเงื่อนไขสำคัญที่ถูกต้องเพื่อให้ลูกค้าพิจารณาตนเอง ซึ่งถือว่ายอมรับได้และช่วยลดความเสี่ยงจากการให้ข้อมูลผิดพลาด"/>
    <n v="5"/>
    <s v="ภาษาที่ใช้เป็นธรรมชาติ สั้นกระชับ และจัดรูปแบบได้ดี ทำให้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ปรับโครงสร้างหนี้บัตรเครดิต"/>
    <s v="ผ่าน"/>
    <s v="คำตอบของบอทมีความถูกต้องและปลอดภัยดีแล้ว ไม่จำเป็นต้องปรับปรุงเพิ่มเติมในกรณีนี้ เนื่องจากเป็นการตอบแบบกางเงื่อนไขที่ถูกต้องเพื่อความปลอดภัย"/>
  </r>
  <r>
    <x v="1"/>
    <s v="TC-053"/>
    <x v="5"/>
    <s v="ทดสอบมาตรการสนับสนุนการรวมหนี้ของ ธปท."/>
    <s v="&quot;ได้ยินว่าเอาหนี้บัตรเครดิตมารวมกับหนี้บ้านได้ จริงไหมคะ&quot;"/>
    <s v="จริง ธปท. มีมาตรการให้รวมหนี้รายย่อย เช่น บัตรเครดิต บัตรกดเงินสด เข้ากับสินเชื่อบ้านเพื่อลดภาระดอกเบี้ยและการผ่อนค่างวดระยะยาว (ที่มา: ktb-info-1574-v3p1.txt, บรรทัด 16-16)"/>
    <s v="สำหรับกรณีการรวมหนี้บัตรเครดิตกับหนี้บ้านนั้น ในมาตรการที่ 1 “จ่ายตรง คงทรัพย์” ระบุว่า หากท่านมีหนี้บ้านหรือหนี้รถที่เข้าเงื่อนไข สามารถพิจารณาเข้ามาตรการรวมหนี้ได้ โดยขึ้นอยู่กับระดับความเสี่ยงที่สถาบันการเงินรับได้ค่ะ_x000a__x000a__x000a__x000a_ทั้งนี้ มาตรการของผู้ให้บริการแต่ละแห่งมีเงื่อนไขที่แตกต่างกัน แนะนำให้ท่านศึกษารายละเอียดและเงื่อนไขก่อนลงทะเบียนเข้าร่วมโครงการนะคะ_x000a__x000a_"/>
    <n v="5"/>
    <n v="1"/>
    <n v="5"/>
    <s v="บอทตอบถูกต้องตามเอกสาร โดยระบุว่าสามารถรวมหนี้บัตรเครดิตกับหนี้บ้านได้ภายใต้มาตรการที่ 1 และเงื่อนไขที่สถาบันการเงินพิจารณาความเสี่ยง ซึ่งตรงกับข้อมูลใน Context ทุกประการ"/>
    <n v="5"/>
    <s v="บอทตอบตรงคำถามของลูกค้าและให้ข้อมูลที่ถูกต้องครบถ้วนตามเงื่อนไขที่ระบุในเอกสาร โดยไม่ฟันธงแต่ให้ข้อมูลที่ลูกค้าสามารถนำไปพิจารณาต่อได้ ซึ่งเป็นแนวทางที่ปลอดภัยและยอมรับได้"/>
    <n v="5"/>
    <s v="บอทใช้ภาษาที่เข้าใจง่าย กระชับ และจัดรูปแบบการตอบได้ดี ทำให้ลูกค้าเข้าใจข้อมูลได้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รวมหนี้บัตรเครดิตกับหนี้บ้านในโครงการ &quot;คุณสู้ เราช่วย&quot; มาตรการที่ 1"/>
    <s v="ผ่าน"/>
    <s v="ไม่มีคำแนะนำเพิ่มเติม เนื่องจากคำตอบถูกต้องและครบถ้วนตามหลักเกณฑ์"/>
  </r>
  <r>
    <x v="1"/>
    <s v="TC-054"/>
    <x v="5"/>
    <s v="ทดสอบการเตือนเรื่องค่าธรรมเนียมหรือค่าใช้จ่ายแฝงในการรีไฟแนนซ์"/>
    <s v="&quot;สนใจรีไฟแนนซ์ไปแบงก์อื่น ต้องเสียค่าอะไรเพิ่มบ้าง&quot;"/>
    <s v="ต้องระวังค่าใช้จ่ายแฝง เช่น ค่าจดจำนอง ค่าประเมินหลักประกัน ค่าเบี้ยประกันใหม่ และค่าปรับกรณีไถ่ถอนก่อนกำหนดจากเจ้าหนี้เดิม (ที่มา: ktb-info-v3p0.txt, บรรทัด 44-44)"/>
    <s v="ขออภัยค่ะ ข้อมูลเรื่องค่าใช้จ่ายในการรีไฟแนนซ์ไปธนาคารอื่น ไม่ได้ระบุไว้ในรายละเอียดโครงการที่คุณสอบถามมาค่ะ_x000a__x000a_หากคุณต้องการสอบถามข้อมูลเพิ่มเติม สามารถติดต่อได้ที่ Krungthai Contact Center 02 111 1111 กด 99 หรือ BOT Contact Center 1213 นะคะ"/>
    <n v="5"/>
    <n v="1"/>
    <n v="5"/>
    <s v="บอทตอบถูกต้องว่าข้อมูลที่ลูกค้าสอบถามไม่ได้อยู่ในเอกสารอ้างอิงที่ให้มา"/>
    <n v="5"/>
    <s v="บอทตอบตรงประเด็นว่าไม่พบข้อมูลที่เกี่ยวข้องและแนะนำช่องทางการติดต่อเพิ่มเติม ซึ่งเหมาะสมกับสถานการณ์ที่ข้อมูลไม่อยู่ใน Context"/>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ประเมินได้ถูกต้องว่าข้อมูลที่ลูกค้าต้องการไม่อยู่ใน Context ที่ให้มา"/>
    <s v="ผ่าน"/>
    <s v="ไม่มีคำแนะนำเพิ่มเติม เนื่องจากบอทตอบได้ดีที่สุดแล้วในสถานการณ์ที่ข้อมูลไม่อยู่ใน Context"/>
  </r>
  <r>
    <x v="1"/>
    <s v="TC-055"/>
    <x v="5"/>
    <s v="ทดสอบข้อควรระวังเรื่องระยะเวลาผ่อนที่นานขึ้น"/>
    <s v="&quot;รวมหนี้แล้วผ่อนน้อยลงมากเลย แบบนี้ดอกเบี้ยรวมจะถูกลงด้วยใช่ไหม&quot;"/>
    <s v="ไม่เสมอไป แม้ค่างวดต่อเดือนลดลง แต่ถ้าระยะเวลาผ่อนนานขึ้น อาจทำให้ยอดรวมดอกเบี้ยทั้งสัญญาแพงกว่าการผ่อนแบบเดิม (ที่มา: ktb-info-1574-v3p1.txt, บรรทัด 20-20)"/>
    <s v="สวัสดีค่ะ สำหรับมาตรการในโครงการ “คุณสู้ เราช่วย” ในมาตรการที่ 1 และมาตรการที่ 3 มีเงื่อนไขการพักดอกเบี้ยไว้เป็นเวลา 3 ปี ซึ่งหากท่านสามารถปฏิบัติได้ตามเงื่อนไขที่กำหนดตลอดระยะเวลาดังกล่าว ดอกเบี้ยที่พักไว้จะได้รับการยกเว้นทั้งหมดค่ะ_x000a__x000a_ "/>
    <n v="3"/>
    <n v="1"/>
    <n v="5"/>
    <s v="ข้อมูลที่บอทให้เกี่ยวกับมาตรการที่ 1 และ 3 ในโครงการ “คุณสู้ เราช่วย” เรื่องการพักดอกเบี้ย 3 ปี และการยกเว้นดอกเบี้ยหากปฏิบัติตามเงื่อนไขนั้นถูกต้อง 100% ตามเอกสารอ้างอิง"/>
    <n v="3"/>
    <s v="บอทไม่ได้ตอบคำถามเชิงหลักการทั่วไปที่ว่า &quot;รวมหนี้แล้วผ่อนน้อยลง ดอกเบี้ยรวมจะถูกลงด้วยไหม&quot; โดยตรง แต่เลือกที่จะให้ข้อมูลเกี่ยวกับเงื่อนไขการพักดอกเบี้ยและการยกเว้นดอกเบี้ยของมาตรการที่ 1 และ 3 ในโครงการ &quot;คุณสู้ เราช่วย&quot; ซึ่งเป็นมาตรการปรับโครงสร้างหนี้ที่เกี่ยวข้องกับการจัดการหนี้และดอกเบี้ย ถือเป็นการตอบแบบกางเงื่อนไขที่ถูกต้องตามเอกสาร ซึ่งยอมรับได้ตามหลัก &quot;Safety Over Rejection&quot; แม้จะไม่ฟันธงตามคำถามเชิงหลักการ"/>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มาตรการที่ 1 และ 3 ของโครงการ “คุณสู้ เราช่วย” ซึ่งเป็นข้อมูลที่บอทนำมาใช้ตอบ"/>
    <s v="ผ่าน"/>
    <s v="ควรตอบคำถามเชิงหลักการทั่วไปก่อนว่า &quot;ไม่เสมอไป&quot; และอธิบายเหตุผลว่าการผ่อนนานขึ้นอาจทำให้ดอกเบี้ยรวมสูงขึ้นได้ จากนั้นจึงค่อยให้ข้อมูลเกี่ยวกับมาตรการเฉพาะของโครงการ “คุณสู้ เราช่วย” เพื่อให้คำตอบครอบคลุมและตรงประเด็นกับคำถามของลูกค้ามากขึ้น"/>
  </r>
  <r>
    <x v="1"/>
    <s v="TC-056"/>
    <x v="5"/>
    <s v="ทดสอบขอบเขตการรีไฟแนนซ์สินเชื่อรายย่อย"/>
    <s v="&quot;รีไฟแนนซ์หนี้บัตรเครดิตได้ไหม หรือทำได้แค่หนี้บ้าน&quot;"/>
    <s v="ทำได้ การรีไฟแนนซ์ไม่ได้จำกัดแค่หนี้บ้าน แต่รวมถึงหนี้บัตรเครดิตและบัตรกดเงินสดด้วย เพื่อย้ายไปเจ้าหนี้ใหม่ที่ดอกเบี้ยถูกกว่า (ที่มา: ktb-info-v3p0.txt, บรรทัด 43-43)"/>
    <s v="สวัสดีค่ะ สำหรับหนี้บัตรเครดิตสามารถเข้าร่วมมาตรการปรับโครงสร้างหนี้ได้ค่ะ โดยมีรายละเอียดดังนี้ค่ะ_x000a__x000a_1. **มาตรการที่ 3 “จ่าย ตัด ต้น”**: สำหรับหนี้เสีย (NPL) ของสินเชื่อไม่มีหลักประกัน เช่น บัตรเครดิต โดยมียอดหนี้ไม่เกิน 50,000 บาทต่อบัญชี _x000a_2. **มาตรการที่ 1 “จ่ายตรง คงทรัพย์”**: หากท่านมีหนี้บ้านหรือหนี้รถที่เข้าเงื่อนไข สามารถพิจารณารวมหนี้บัตรเครดิตเข้ามาตรการนี้ได้ค่ะ _x000a__x000a_ทั้งนี้ เงื่อนไขขึ้นอยู่กับผู้ให้บริการแต่ละแห่ง โปรดศึกษารายละเอียดก่อนลงทะเบียนนะคะ "/>
    <n v="3"/>
    <n v="1"/>
    <n v="5"/>
    <s v="ข้อมูลที่บอทให้เกี่ยวกับมาตรการที่ 1 และ 3 รวมถึงเงื่อนไขต่างๆ ถูกต้องตามเอกสารอ้างอิงทุกประการ และมีการระบุข้อควรระวังเรื่องเงื่อนไขที่แตกต่างกันของผู้ให้บริการ ซึ่งสอดคล้องกับเอกสาร"/>
    <n v="3"/>
    <s v="ลูกค้าถามถึงการรีไฟแนนซ์หนี้บัตรเครดิต ซึ่งบอทตอบโดยการนำเสนอมาตรการปรับโครงสร้างหนี้ภายใต้โครงการ &quot;คุณสู้ เราช่วย&quot; ซึ่งเป็นแนวทางที่เกี่ยวข้องกับการจัดการหนี้ แม้จะไม่ใช่การ &quot;รีไฟแนนซ์&quot; ในความหมายทั่วไปของการย้ายหนี้ไปเจ้าหนี้ใหม่ แต่เป็นการนำเสนอทางเลือกที่ถูกต้องตามเอกสารที่ให้มา และเป็นไปตามหลักการ &quot;Safety Over Rejection&quot; ที่ให้กางเงื่อนไขที่ถูกต้อง"/>
    <n v="5"/>
    <s v="คำตอบกระชับ เข้าใจง่าย มีการจัดรูปแบบเป็นข้อๆ ทำให้ดูเป็นระเบียบและอ่าน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ไฟล์ khunsoo-v3p0.txt ซึ่งเป็นข้อมูลที่เกี่ยวข้องโดยตรงกับโครงการ &quot;คุณสู้ เราช่วย&quot; และมาตรการต่างๆ ที่สามารถใช้กับหนี้บัตรเครดิตได้"/>
    <s v="ผ่าน"/>
    <s v="บอทสามารถเพิ่มความชัดเจนในการอธิบายความแตกต่างระหว่าง &quot;การรีไฟแนนซ์&quot; ในความหมายทั่วไป กับ &quot;มาตรการปรับโครงสร้างหนี้&quot; ที่นำเสนอ เพื่อให้ลูกค้าเข้าใจบริบทของคำตอบได้ดียิ่งขึ้น หรือระบุว่ามาตรการเหล่านี้เป็นทางเลือกในการจัดการหนี้บัตรเครดิตที่ใกล้เคียงกับการรีไฟแนนซ์ภายใต้โครงการนี้"/>
  </r>
  <r>
    <x v="1"/>
    <s v="TC-057"/>
    <x v="5"/>
    <s v="ทดสอบข้อควรระวังเรื่องหลักประกัน (Collateral Risk)"/>
    <s v="&quot;ถ้าเอาบ้านไปค้ำเพื่อรวมหนี้ จะมีความเสี่ยงอะไรไหม&quot;"/>
    <s v="มีความเสี่ยง เพราะบ้านจะกลายเป็นหลักประกัน หากในอนาคตผ่อนชำระต่อไม่ไหว อาจเสี่ยงต่อการถูกยึดทรัพย์หรือสูญเสียบ้านได้ (ที่มา: ktb-info-1574-v3p1.txt, บรรทัด 21-21)"/>
    <s v="ขออภัยค่ะ ข้อมูลที่ท่านสอบถามเกี่ยวกับความเสี่ยงของการนำบ้านไปค้ำประกันเพื่อรวมหนี้ ไม่ได้ระบุรายละเอียดไว้ในเงื่อนไขของโครงการค่ะ_x000a__x000a_หากท่านต้องการทราบข้อมูลเพิ่มเติมหรือรายละเอียดเกี่ยวกับมาตรการต่างๆ สามารถติดต่อสอบถามได้ที่ Krungthai Contact Center 02 111 1111 กด 99 หรือ BOT Contact Center 1213 ค่ะ"/>
    <n v="3"/>
    <n v="1"/>
    <n v="5"/>
    <s v="บอทระบุถูกต้องว่าข้อมูลความเสี่ยงของการนำบ้านไปค้ำประกันเพื่อรวมหนี้ไม่ได้ระบุรายละเอียดไว้ในเงื่อนไขของโครงการตาม Context ที่ให้มา"/>
    <n v="3"/>
    <s v="บอทตอบตรงประเด็นโดยแจ้งว่าข้อมูลที่ถามไม่อยู่ใน Context และแนะนำช่องทางการติดต่อเพิ่มเติม ซึ่งถือเป็น Safe Response ที่ยอมรับได้"/>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สามารถระบุได้ว่าข้อมูลที่ลูกค้าสอบถาม (ความเสี่ยง) ไม่มีอยู่ใน Context ที่ดึงมา"/>
    <s v="ผ่าน"/>
    <s v="บอทสามารถเพิ่มประโยคที่ยอมรับว่าโครงการมีการรวมหนี้โดยใช้บ้านค้ำประกันได้ แต่ข้อมูลความเสี่ยงเฉพาะเจาะจงไม่ได้ระบุไว้ในเอกสาร เพื่อให้คำตอบสมบูรณ์ยิ่งขึ้นก่อนแนะนำช่องทางติดต่อ"/>
  </r>
  <r>
    <x v="1"/>
    <s v="TC-058"/>
    <x v="5"/>
    <s v="ทดสอบแนวทางรักษาวินัยการเงินหลังรวมหนี้"/>
    <s v="&quot;กลัวรวมหนี้เสร็จแล้วจะกลับไปเป็นหนี้อีก มีวิธีป้องกันยังไง&quot;"/>
    <s v="ควรปิดหรือลดวงเงินบัตรที่ไม่จำเป็น ทำบัญชีรายรับ-รายจ่าย และตั้งงบประมาณการใช้จ่ายเพื่อป้องกันการเผลอกลับไปสร้างหนี้ใหม่ (ที่มา: ktb-info-1574-v3p1.txt, บรรทัด 27-27)"/>
    <s v="สำหรับการป้องกันการก่อหนี้ใหม่หลังจากเข้าร่วมมาตรการภายใต้โครงการ “คุณสู้ เราช่วย” ทางโครงการมีเงื่อนไขกำหนดไว้ว่า ลูกหนี้จะไม่สามารถทำสัญญาสินเชื่ออุปโภคบริโภคใหม่ได้เป็นระยะเวลา 12 เดือนแรกหลังจากเข้าร่วมมาตรการค่ะ_x000a__x000a__x000a_"/>
    <n v="3"/>
    <n v="1"/>
    <n v="5"/>
    <s v="บอทตอบเงื่อนไขที่ถูกต้องตามเอกสารว่าลูกหนี้จะไม่สามารถทำสัญญาสินเชื่ออุปโภคบริโภคใหม่ได้เป็นระยะเวลา 12 เดือนแรกหลังจากเข้าร่วมมาตรการ ซึ่งเป็นเงื่อนไขที่มีอยู่ในมาตรการที่ 1 และ 3 ของโครงการฯ"/>
    <n v="3"/>
    <s v="บอทตอบตรงประเด็นในแง่ของการให้ข้อมูลเงื่อนไขของโครงการที่ช่วยป้องกันการก่อหนี้ใหม่ได้ แต่ไม่ได้ให้คำแนะนำด้านการเงินทั่วไปตามที่ผู้ใช้อาจคาดหวัง อย่างไรก็ตาม การให้เงื่อนไขที่ถูกต้องถือว่ายอมรับได้ตามหลัก Safety Over Rejection"/>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เงื่อนไขของโครงการ &quot;คุณสู้ เราช่วย&quot; ที่บอทนำมาตอบ"/>
    <s v="ผ่าน"/>
    <s v="ควรเพิ่มคำแนะนำด้านการเงินทั่วไป เช่น การทำบัญชีรายรับ-รายจ่าย หรือการลดวงเงินบัตรที่ไม่จำเป็น เพื่อให้คำตอบครอบคลุมและเป็นประโยชน์ต่อผู้ใช้มากยิ่งขึ้น"/>
  </r>
  <r>
    <x v="1"/>
    <s v="TC-059"/>
    <x v="5"/>
    <s v="ทดสอบการแนะนำผลิตภัณฑ์สินเชื่อไม่มีหลักประกัน (Unsecured)"/>
    <s v="&quot;อยากรวมหนี้แบบไม่ต้องใช้คนค้ำหรือหลักทรัพย์ แบงก์มีตัวช่วยไหม&quot;"/>
    <s v="มี เช่น สินเชื่อ Smart Money สำหรับผู้มีรายได้ประจำ ที่ต้องการรวมหนี้แบบไม่ต้องใช้หลักทรัพย์หรือบุคคลค้ำประกัน วงเงินสูงสุด 5 เท่าของรายได้ (ที่มา: ktb-info-1574-v3p1.txt, บรรทัด 24-24)"/>
    <s v="สวัสดีค่ะ สำหรับการรวมหนี้โดยไม่ต้องใช้หลักทรัพย์หรือคนค้ำประกัน ภายใต้โครงการ “คุณสู้ เราช่วย” มีมาตรการที่ 3 “จ่าย ตัด ต้น” สำหรับสินเชื่อไม่มีหลักประกัน (เช่น บัตรเครดิต สินเชื่อส่วนบุคคล) ที่มียอดหนี้ไม่เกิน 50,000 บาทต่อบัญชี และเป็นหนี้เสีย (NPL) ณ วันที่ 31 ตุลาคม 2567 ค่ะ _x000a__x000a_ทั้งนี้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 "/>
    <n v="3"/>
    <n v="1"/>
    <n v="5"/>
    <s v="บอทให้ข้อมูลเงื่อนไขของมาตรการที่ 3 “จ่าย ตัด ต้น” ได้ถูกต้อง 100% ตามเอกสารอ้างอิง รวมถึงการระบุว่ามาตรการของผู้ให้บริการแต่ละแห่งมีเงื่อนไขที่แตกต่างกัน ซึ่งเป็นข้อความที่อยู่ใน Context ด้วย"/>
    <n v="3"/>
    <s v="บอทตอบตรงประเด็นที่ลูกค้าต้องการรวมหนี้แบบไม่ต้องใช้หลักทรัพย์หรือคนค้ำประกัน โดยเสนอมาตรการที่ 3 “จ่าย ตัด ต้น” ซึ่งเป็นมาตรการสำหรับสินเชื่อไม่มีหลักประกัน และกางเงื่อนไขที่ถูกต้องให้ลูกค้าพิจารณาเอง ถือว่ายอมรับได้ตามหลัก Safety Over Rejection"/>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 Context ที่เกี่ยวข้องโดยตรงกับโครงการ “คุณสู้ เราช่วย” และมาตรการที่ 3 “จ่าย ตัด ต้น” มาใช้ได้อย่างถูกต้อง"/>
    <s v="ผ่าน"/>
    <s v="คำตอบของบอทถูกต้องตาม Context ที่ให้มาแล้ว ไม่จำเป็นต้องปรับปรุงเพิ่มเติมในกรณีนี้ เนื่องจาก Expected Output อ้างอิงถึงข้อมูลที่ไม่ได้อยู่ใน Context ที่ให้มา"/>
  </r>
  <r>
    <x v="1"/>
    <s v="TC-060"/>
    <x v="5"/>
    <s v="ทดสอบผลกระทบต่อคะแนนเครดิตหลังรวมหนี้"/>
    <s v="&quot;ถ้ารวมหนี้ปิดบัตรหลายใบพร้อมกัน บูโรจะพังไหม&quot;"/>
    <s v="อาจกระทบคะแนนเครดิตในระยะสั้นจากการปิดบัญชีหลายใบ แต่หากผ่อนหนี้ก้อนใหม่ตรงเวลา จะส่งผลดีต่อประวัติเครดิตในระยะยาว (ที่มา: ktb-info-1574-v3p1.txt, บรรทัด 21-21)"/>
    <s v="สวัสดีค่ะ สำหรับข้อมูลเรื่องการรายงานข้อมูลในเครดิตบูโร (NCB) เมื่อเข้าร่วมมาตรการปรับโครงสร้างหนี้ภายใต้โครงการ “คุณสู้ เราช่วย” นั้น มีระบุไว้ว่าหากท่านเข้าร่วมมาตรการ จะมีการรายงานข้อมูลใน NCB ว่าเข้าร่วมมาตรการค่ะ_x000a__x000a__x000a__x000a__x000a_หากท่านมีข้อสงสัยเพิ่มเติม สามารถติดต่อสอบถามได้ที่ Krungthai Contact Center 02 111 1111 กด 99 หรือ BOT Contact Center 1213 นะคะ"/>
    <n v="3"/>
    <n v="1"/>
    <n v="5"/>
    <s v="ข้อมูลที่บอทให้เรื่องการรายงานข้อมูลใน NCB เมื่อเข้าร่วมมาตรการนั้นถูกต้องตามเอกสารอ้างอิงสำหรับทุกมาตรการภายใต้โครงการ &quot;คุณสู้ เราช่วย&quot;"/>
    <n v="3"/>
    <s v="บอทตอบตรงประเด็นในส่วนที่ว่ามีการรายงานข้อมูลใน NCB ซึ่งเป็นส่วนหนึ่งของคำถามเรื่องบูโร แต่ไม่ได้ให้ข้อมูลที่ครบถ้วนเกี่ยวกับผลกระทบระยะสั้นและระยะยาวต่อคะแนนเครดิตตามที่คำถามต้องการทราบอย่างชัดเจน อย่างไรก็ตาม การกางเงื่อนไขที่ถูกต้องถือว่ายอมรับได้ตามหลัก Safety Over Rejection"/>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เรื่องการรายงานข้อมูลในเครดิตบูโรภายใต้โครงการที่เกี่ยวข้อง"/>
    <s v="ผ่าน"/>
    <s v="ควรให้ข้อมูลเพิ่มเติมเกี่ยวกับผลกระทบต่อคะแนนเครดิตทั้งในระยะสั้นและระยะยาวเมื่อมีการรวมหนี้และปิดบัตรหลายใบ เพื่อตอบคำถามของลูกค้าได้อย่างครบถ้วนยิ่งขึ้น"/>
  </r>
  <r>
    <x v="1"/>
    <s v="TC-061"/>
    <x v="6"/>
    <s v="ลูกค้าวิกฤตรายได้หายสิ้นเชิง ต้องการพักชำระหนี้ทั้งหมดชั่วคราว"/>
    <s v="&quot;ตกงานกะทันหัน ไม่มีเงินติดตัวเลย ขอหยุดจ่ายทั้งต้นทั้งดอกก่อนได้ไหม&quot;"/>
    <s v="สามารถขอพักชำระทั้งเงินต้นและดอกเบี้ยได้เป็นระยะเวลาสั้น ๆ เช่น 3-6 เดือน เพื่อให้มีเวลาปรับตัวหรือหางานใหม่ (ที่มา: ktb-info-v3p0.txt, บรรทัด 50-50)"/>
    <s v="สวัสดีค่ะ สำหรับความกังวลเรื่องการหยุดจ่ายทั้งต้นและดอกเบี้ยนั้น ในข้อมูลโครงการ “คุณสู้ เราช่วย” ไม่ได้ระบุมาตรการที่ให้หยุดจ่ายชำระหนี้ทั้งหมดค่ะ_x000a__x000a_หากท่านต้องการทราบรายละเอียดหรือตรวจสอบสิทธิ์ตามเงื่อนไขของแต่ละสถาบันการเงิน แนะนำให้ติดต่อ Krungthai Contact Center 02 111 1111 กด 99 หรือ BOT Contact Center 1213 โดยตรงนะคะ"/>
    <n v="3"/>
    <n v="1"/>
    <n v="5"/>
    <s v="บอทระบุถูกต้องว่าโครงการ &quot;คุณสู้ เราช่วย&quot; ไม่มีมาตรการที่ให้หยุดจ่ายชำระหนี้ทั้งหมดตามข้อมูลที่ให้มา"/>
    <n v="3"/>
    <s v="บอทตอบตรงประเด็นโดยระบุว่ามาตรการที่ลูกค้าต้องการไม่มีในโครงการที่อ้างอิง และแนะนำช่องทางการติดต่อเพิ่มเติม ซึ่งเป็นการตอบแบบ Safe Response ที่ยอมรับได้เมื่อข้อมูลไม่ตรงกับคำถามโดยตรง"/>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quot;คุณสู้ เราช่วย&quot; ซึ่งเป็นหัวข้อที่บอทใช้ตอบ"/>
    <s v="ผ่าน"/>
    <s v="คำตอบดีแล้ว ไม่จำเป็นต้องปรับปรุงเพิ่มเติม"/>
  </r>
  <r>
    <x v="1"/>
    <s v="TC-062"/>
    <x v="6"/>
    <s v="ทดสอบความเข้าใจเรื่องภาระดอกเบี้ยระหว่างการพักชำระหนี้"/>
    <s v="&quot;ถ้าแบงก์ให้พักหนี้ 6 เดือน ดอกเบี้ยจะหยุดเดินด้วยไหมคะ&quot;"/>
    <s v="ดอกเบี้ยยังคงเดินอยู่ตลอดเวลาที่พักชำระ และต้องนำกลับมาจ่ายคืนภายหลังตามวิธีที่ตกลงกับธนาคาร (ที่มา: ktb-info-v3p0.txt, บรรทัด 50-50)"/>
    <s v="ต้องขออภัยด้วยค่ะ ข้อมูลในโครงการ “คุณสู้ เราช่วย” ที่ได้รับมานั้น ไม่ได้ระบุรายละเอียดเกี่ยวกับการพักหนี้ 6 เดือนโดยตรงค่ะ_x000a__x000a_หากท่านต้องการสอบถามข้อมูลเพิ่มเติมเกี่ยวกับมาตรการช่วยเหลือ สามารถติดต่อได้ที่ Krungthai Contact Center 02 111 1111 กด 99 หรือ BOT Contact Center 1213 ค่ะ"/>
    <n v="3"/>
    <n v="1"/>
    <n v="5"/>
    <s v="บอทตอบถูกต้องตามข้อมูลที่ได้รับมาว่าไม่มีรายละเอียดเกี่ยวกับการพักหนี้ 6 เดือนโดยตรงในโครงการ &quot;คุณสู้ เราช่วย&quot; และไม่ได้ให้ข้อมูลที่ผิดพลาดหรือมโนขึ้นมา"/>
    <n v="3"/>
    <s v="บอทตอบตรงประเด็นโดยแจ้งว่าข้อมูลที่ลูกค้าถามไม่มีในเอกสาร และแนะนำช่องทางการติดต่อเพิ่มเติม ซึ่งเป็นการตอบแบบ Safe Response ที่ยอมรับได้เมื่อข้อมูลไม่เพียงพอต่อการฟันธง"/>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 Context มาวิเคราะห์และสรุปได้ถูกต้องว่าไม่มีข้อมูลที่ตรงกับคำถามของลูกค้า"/>
    <s v="ผ่าน"/>
    <s v="ควรมีข้อมูลเกี่ยวกับมาตรการพักหนี้ทั่วไป (เช่น การพักชำระหนี้ 6 เดือน) และผลกระทบต่อดอกเบี้ย เพื่อให้บอทสามารถตอบคำถามประเภทนี้ได้โดยตรง"/>
  </r>
  <r>
    <x v="1"/>
    <s v="TC-063"/>
    <x v="6"/>
    <s v="ทดสอบทางออกเมื่อมาตรการพักหนี้สิ้นสุดแต่รายได้ยังไม่กลับมา"/>
    <s v="&quot;จะครบกำหนดพักหนี้แล้วแต่ยังหางานไม่ได้เลย ต้องทำยังไงต่อดี&quot;"/>
    <s v="ให้รีบเจรจาขอความช่วยเหลืออื่น เช่น ขอจ่ายแบบขั้นบันได (จ่ายน้อยในช่วงแรก) หรือสำรวจทรัพย์สินที่พอจะขายได้มาช่วยชำระหนี้ (ที่มา: ktb-info-v3p0.txt, บรรทัด 51-51)"/>
    <s v="สวัสดีค่ะ สำหรับกรณีที่ท่านมีความกังวลเรื่องการชำระหนี้หลังจากสิ้นสุดระยะเวลาพักชำระหนี้ ท่านสามารถศึกษาข้อมูลโครงการ “คุณสู้ เราช่วย” ซึ่งมีมาตรการช่วยเหลือลูกหนี้ในรูปแบบต่างๆ เช่น การปรับโครงสร้างหนี้เพื่อลดค่างวดหรือปิดจบหนี้ได้ค่ะ_x000a__x000a_ทั้งนี้ 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นะคะ _x000a__x000a_หากท่านต้องการสอบถามข้อมูลเพิ่มเติม สามารถติดต่อ Krungthai Contact Center 02 111 1111 กด 99 หรือ BOT Contact Center 1213 ค่ะ"/>
    <n v="3"/>
    <n v="1"/>
    <n v="3"/>
    <s v="บอทอ้างอิงถึงโครงการ &quot;คุณสู้ เราช่วย&quot; และประเภทของมาตรการช่วยเหลือ (ปรับโครงสร้างหนี้เพื่อลดค่างวดหรือปิดจบหนี้) ได้ถูกต้องตามเอกสาร รวมถึงคำแนะนำให้ศึกษาเงื่อนไขเพิ่มเติม ซึ่งเป็นการตอบแบบ Safe Response ที่ถูกต้อง"/>
    <n v="3"/>
    <s v="บอทแนะนำโครงการที่เกี่ยวข้องกับการช่วยเหลือลูกหนี้ที่กำลังประสบปัญหา ซึ่งตรงประเด็นกับคำถามของลูกค้า แม้จะไม่ได้ฟันธงหรือให้คำแนะนำเฉพาะเจาะจง แต่การกางเงื่อนไขและช่องทางการติดต่อเพิ่มเติมถือว่ายอมรับได้ตามหลัก Safety Over Rejection"/>
    <n v="5"/>
    <s v="ภาษาที่ใช้เป็นธรรมชาติ เข้าใจง่าย และจัดรูปแบ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quot;คุณสู้ เราช่วย&quot; ซึ่งเป็นหัวข้อหลักของคำตอบ"/>
    <s v="ผ่าน"/>
    <s v="บอทสามารถให้ข้อมูลตัวอย่างมาตรการที่อาจเกี่ยวข้องกับสถานการณ์ของลูกค้าได้ละเอียดขึ้น เช่น มาตรการ &quot;จ่ายตรง คงทรัพย์&quot; หรือ &quot;จ่าย ปิด จบ&quot; เพื่อให้ลูกค้าเห็นภาพรวมของทางเลือกได้ชัดเจนขึ้น ก่อนที่จะแนะนำให้ศึกษาเงื่อนไขเฉพาะ"/>
  </r>
  <r>
    <x v="1"/>
    <s v="TC-064"/>
    <x v="6"/>
    <s v="เตือนผลกระทบของการปล่อยให้เป็นหนี้เสียโดยไม่เจรจา"/>
    <s v="&quot;ถ้าผมปล่อยค้างไปเลย ไม่ไปคุยกับแบงก์ จะเสียสิทธิ์ช่วยแบบไหนบ้าง&quot;"/>
    <s v="หากค้างชำระจนเป็นหนี้เสีย (เกิน 90 วัน) จะยิ่งทำให้มีโอกาสได้รับความช่วยเหลือจากธนาคารน้อยลงไปอีก (ที่มา: ktb-info-v3p0.txt, บรรทัด 51-51)"/>
    <s v="ขออภัยค่ะ ข้อมูลที่ท่านสอบถามเกี่ยวกับผลกระทบของการไม่ติดต่อธนาคารเมื่อค้างชำระหนี้ ไม่ได้ระบุไว้ในรายละเอียดของโครงการค่ะ_x000a__x000a_หากท่านมีข้อสงสัยเพิ่มเติมหรือต้องการคำปรึกษาเกี่ยวกับสถานะหนี้ของท่าน สามารถติดต่อ Krungthai Contact Center 02 111 1111 กด 99 หรือ BOT Contact Center 1213 ได้โดยตรงนะคะ"/>
    <n v="3"/>
    <n v="1"/>
    <n v="5"/>
    <s v="บอทระบุว่าข้อมูลที่สอบถามไม่ได้ระบุไว้ในรายละเอียดของโครงการ ซึ่งถูกต้องตาม Context ที่ให้มา เนื่องจาก Context ไม่ได้ระบุผลกระทบของการไม่ติดต่อธนาคารเมื่อค้างชำระหนี้โดยตรง แต่เน้นที่เงื่อนไขการเข้าร่วมมาตรการต่างๆ"/>
    <n v="3"/>
    <s v="บอทไม่สามารถฟันธงได้โดยตรงเนื่องจากข้อมูลไม่อยู่ใน Context แต่เลือกที่จะตอบแบบปลอดภัยโดยแจ้งว่าข้อมูลไม่ระบุไว้และแนะนำให้ติดต่อหน่วยงานที่เกี่ยวข้อง ซึ่งถือว่ายอมรับได้ตามเกณฑ์ &quot;Safety Over Rejection&quot;"/>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สามารถระบุได้ว่าข้อมูลที่ลูกค้าสอบถามไม่ได้อยู่ใน Context ที่ได้รับมาอย่างถูกต้อง"/>
    <s v="ผ่าน"/>
    <s v="หากมีข้อมูลทั่วไปเกี่ยวกับผลกระทบของการไม่ติดต่อธนาคารเมื่อค้างชำระหนี้ที่สามารถนำมาใช้ได้โดยไม่ขัดกับหลักฐาน ควรพิจารณาเพิ่มข้อมูลนั้นเพื่อตอบคำถามลูกค้าให้สมบูรณ์ยิ่งขึ้น แต่ในกรณีนี้ การตอบตาม Context ที่มีถือว่าถูกต้องแล้ว"/>
  </r>
  <r>
    <x v="1"/>
    <s v="TC-065"/>
    <x v="6"/>
    <s v="ทดสอบมาตรการช่วยเหลือหนี้เสียยอดต่ำ (มาตรการที่ 2)"/>
    <s v="&quot;มีหนี้เสียบัตรเครดิตยอด 8,000 บาท อยากขอปิดจบแบบมีส่วนลดได้ไหม&quot;"/>
    <s v="สามารถเข้าร่วมมาตรการ &quot;จ่าย ปิด จบ&quot; โดยชำระหนี้เพียงบางส่วนเพื่อปิดบัญชีได้ทันทีสำหรับหนี้เสียยอดไม่เกิน 10,000 บาท (ที่มา: khunsoo-v3p0.txt, บรรทัด 10-11)"/>
    <s v="สวัสดีค่ะ สำหรับยอดหนี้บัตรเครดิต 8,000 บาท ท่านสามารถพิจารณาเข้าร่วมมาตรการที่ 2 “จ่าย ปิด จบ” ได้ค่ะ ซึ่งเป็นมาตรการสำหรับสินเชื่อไม่มีหลักประกันที่มีภาระหนี้ไม่เกิน 10,000 บาทต่อบัญชี โดยท่านต้องมีสถานะเป็นหนี้เสีย (NPL) ณ วันที่ 31 ตุลาคม 2567 ค่ะ "/>
    <n v="5"/>
    <n v="1"/>
    <n v="5"/>
    <s v="บอทระบุมาตรการและเงื่อนไขที่ถูกต้อง 100% ตามเอกสารอ้างอิง โดยเฉพาะเงื่อนไขยอดหนี้ไม่เกิน 10,000 บาท และสถานะหนี้เสีย ณ วันที่ 31 ตุลาคม 2567"/>
    <n v="5"/>
    <s v="บอทตอบตรงประเด็นคำถามของลูกค้าที่ต้องการปิดจบหนี้เสียบัตรเครดิตยอด 8,000 บาท โดยแนะนำมาตรการที่เหมาะสมและระบุเงื่อนไขที่เกี่ยวข้องอย่างครบถ้วน ทำให้ลูกค้าสามารถพิจารณาคุณสมบัติของตนเองได้"/>
    <n v="5"/>
    <s v="ภาษาที่ใช้เป็นธรรมชาติ สั้นกระชับ และเข้าใจง่าย จัดรูปแบบการตอ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จากมาตรการที่ 2 “จ่าย ปิด จบ” ซึ่งเป็นมาตรการที่ตรงกับคำถามของลูกค้ามากที่สุด"/>
    <s v="ผ่าน"/>
    <s v="ไม่มี"/>
  </r>
  <r>
    <x v="1"/>
    <s v="TC-066"/>
    <x v="6"/>
    <s v="ทดสอบข้อจำกัดของหนี้ที่อยู่ในชั้นกฎหมายหรือถูกขายออกไป"/>
    <s v="&quot;หนี้โดนฟ้องหรือขายให้บริษัทอื่นไปแล้ว ยังขอพักหนี้กับธนาคารได้ไหม&quot;"/>
    <s v="หนี้ที่อยู่ในชั้นกฎหมายอาจไม่สามารถนำมารวมหรือพักในเกณฑ์ปกติได้ ต้องอาศัยมาตรการปรับโครงสร้างหนี้กับเจ้าหนี้โดยตรง (ที่มา: ktb-info-1574-v3p1.txt, บรรทัด 19-19)"/>
    <s v="ขออภัยค่ะ ข้อมูลในโครงการ “คุณสู้ เราช่วย” ไม่ได้ระบุเงื่อนไขกรณีหนี้ที่ถูกฟ้องร้องหรือขายให้บริษัทอื่นไว้ค่ะ_x000a__x000a_หากท่านต้องการสอบถามรายละเอียดเพิ่มเติมเกี่ยวกับเงื่อนไขโครงการ สามารถติดต่อ Krungthai Contact Center 02 111 1111 กด 99 หรือ BOT Contact Center 1213 นะคะ"/>
    <n v="3"/>
    <n v="1"/>
    <n v="5"/>
    <s v="บอทระบุว่าข้อมูลในโครงการ “คุณสู้ เราช่วย” ไม่ได้ระบุเงื่อนไขกรณีหนี้ที่ถูกฟ้องร้องหรือขายให้บริษัทอื่นไว้ ซึ่งถูกต้องตามข้อมูลอ้างอิงที่ให้มา (khunsoo-v3p0.txt ไม่มีข้อมูลส่วนนี้)"/>
    <n v="3"/>
    <s v="บอทตอบตรงคำถามโดยระบุว่าข้อมูลที่ถามไม่มีในเอกสาร และแนะนำช่องทางการติดต่อเพิ่มเติม ซึ่งถือว่ายอมรับได้ตามเกณฑ์ &quot;Safety Over Rejection&quot; และ &quot;Acceptable at 3&quot; เนื่องจากบอทไม่สามารถฟันธงได้จากข้อมูลที่มี"/>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Context ที่ดึงมาเกี่ยวข้องกับโครงการ &quot;คุณสู้ เราช่วย&quot; ซึ่งเป็นหัวข้อที่บอทอ้างถึง แต่ไม่มีข้อมูลเฉพาะเจาะจงเกี่ยวกับหนี้ที่ถูกฟ้องร้องหรือขายให้บริษัทอื่น"/>
    <s v="ผ่าน"/>
    <s v="หากมีข้อมูลเกี่ยวกับหนี้ที่อยู่ในชั้นกฎหมายหรือถูกขายให้บริษัทอื่นในเอกสารอ้างอิง ควรนำมาใช้เพื่อให้คำตอบที่สมบูรณ์ยิ่งขึ้น"/>
  </r>
  <r>
    <x v="1"/>
    <s v="TC-067"/>
    <x v="6"/>
    <s v="ทดสอบความเข้าใจเรื่องการขอส่วนลดปิดบัญชี (Haircut)"/>
    <s v="&quot;มีเงินก้อนสุดท้ายจากการขายรถ แต่อยากปิดหนี้บัตร 1 แสนที่มี แบงก์ลดให้ได้ไหม&quot;"/>
    <s v="สามารถขอ &quot;แฮร์คัต&quot; (Haircut) หรือการขอส่วนลดเพื่อปิดบัญชีทันทีด้วยเงินก้อนที่น้อยกว่ายอดหนี้ทั้งหมดได้ (ที่มา: ktb-info-v3p0.txt, บรรทัด 49-49)"/>
    <s v="ต้องขออภัยด้วยค่ะ สำหรับกรณีหนี้บัตรเครดิต 100,000 บาท ข้อมูลในโครงการ “คุณสู้ เราช่วย” ไม่ได้ระบุถึงมาตรการลดหนี้เงินต้นสำหรับยอดหนี้จำนวนดังกล่าวไว้ค่ะ_x000a__x000a_หากต้องการสอบถามรายละเอียดเพิ่มเติมหรือตรวจสอบเงื่อนไขกับทางธนาคารโดยตรง สามารถติดต่อ Krungthai Contact Center 02 111 1111 กด 99 หรือ BOT Contact Center 1213 ได้เลยนะคะ"/>
    <n v="3"/>
    <n v="1"/>
    <n v="5"/>
    <s v="บอทระบุถูกต้องว่าโครงการ “คุณสู้ เราช่วย” ไม่ได้ระบุมาตรการลดหนี้เงินต้นสำหรับยอดหนี้ 100,000 บาท เนื่องจากมาตรการที่ 2 “จ่าย ปิด จบ” กำหนดหนี้ไม่เกิน 10,000 บาท และมาตรการที่ 3 “จ่าย ตัด ต้น” กำหนดหนี้ไม่เกิน 50,000 บาท"/>
    <n v="3"/>
    <s v="บอทไม่ได้ฟันธงปฏิเสธลูกค้าโดยตรง แต่ใช้วิธีทวนเงื่อนไขสำคัญที่ถูกต้องของโครงการ “คุณสู้ เราช่วย” เพื่อให้ลูกค้าพิจารณาตนเอง และแนะนำให้ติดต่อธนาคารโดยตรง ซึ่งถือว่ายอมรับได้และช่วยลดความเสี่ยงจากการให้ข้อมูลผิดพลาด"/>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เรื่องมาตรการช่วยเหลือลูกหนี้และเงื่อนไขของโครงการ “คุณสู้ เราช่วย”"/>
    <s v="ผ่าน"/>
    <s v="หากมีข้อมูลเกี่ยวกับมาตรการ &quot;แฮร์คัต&quot; หรือการขอส่วนลดเพื่อปิดบัญชีทันทีจากแหล่งอื่นนอกเหนือจากโครงการ &quot;คุณสู้ เราช่วย&quot; ใน Context จะช่วยให้บอทสามารถให้คำตอบที่ตรงประเด็นและครบถ้วนมากขึ้น"/>
  </r>
  <r>
    <x v="1"/>
    <s v="TC-068"/>
    <x v="6"/>
    <s v="ทดสอบข้อควรระวังในการทำสัญญาที่เกินกำลังในภาวะวิกฤต"/>
    <s v="&quot;แบงก์ให้พักแค่ 3 เดือน แต่ผมยังไม่ไหว ควรเซ็นรับเงื่อนไขไปก่อนไหม&quot;"/>
    <s v="ไม่ควรลงนามในสัญญาที่จ่ายไม่ไหว เพราะจะทำให้การปรับโครงสร้างหนี้ครั้งต่อไปทำได้ยากขึ้น ให้เจรจาขอนัดชำระแบบอื่นแทน (ที่มา: ktb-info-v3p0.txt, บรรทัด 52-52)"/>
    <s v="สวัสดีค่ะ สำหรับความกังวลใจเรื่องมาตรการพักชำระหนี้ ทางธนาคารขอเรียนว่ามาตรการของผู้ให้บริการแต่ละแห่งจะมีเงื่อนไขที่แตกต่างกันค่ะ_x000a__x000a_หากท่านต้องการคำแนะนำหรือปรึกษาเรื่องการปรับโครงสร้างหนี้เพิ่มเติม ขอแนะนำให้ติดต่อเจ้าหน้าที่โดยตรงที่ธนาคารกรุงไทยทุกสาขา หรือสอบถามผ่าน Krungthai Contact Center 02 111 1111 กด 99 หรือ BOT Contact Center 1213 เพื่อให้เจ้าหน้าที่พิจารณาตามความสามารถในการชำระหนี้ของท่านโดยเฉพาะค่ะ_x000a__x000a_"/>
    <n v="3"/>
    <n v="1"/>
    <n v="5"/>
    <s v="ข้อมูลที่บอทให้ถูกต้องตามเอกสาร โดยเฉพาะประเด็นที่ว่ามาตรการของผู้ให้บริการแต่ละแห่งมีเงื่อนไขที่แตกต่างกัน และการแนะนำให้ติดต่อเจ้าหน้าที่โดยตรงเป็นคำแนะนำที่ปลอดภัยและถูกต้อง"/>
    <n v="3"/>
    <s v="บอทไม่ได้ฟันธงว่าควรเซ็นหรือไม่ แต่เลือกที่จะกางเงื่อนไขสำคัญว่ามาตรการแต่ละแห่งต่างกัน และแนะนำให้ปรึกษาเจ้าหน้าที่เพื่อพิจารณาตามความสามารถในการชำระหนี้ ซึ่งถือว่ายอมรับได้และช่วยลดความเสี่ยงจากการให้ข้อมูลผิดพลาด"/>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โครงการและมาตรการปรับโครงสร้างหนี้ รวมถึงข้อมูลการติดต่อ"/>
    <s v="ผ่าน"/>
    <s v="บอทสามารถแสดงความเข้าใจในสถานการณ์ของลูกค้า (เช่น ความกังวลเรื่องระยะเวลา 3 เดือน) ก่อนที่จะแนะนำให้ติดต่อเจ้าหน้าที่ เพื่อให้คำตอบดูเป็นธรรมชาติและเข้าอกเข้าใจลูกค้ามากขึ้น"/>
  </r>
  <r>
    <x v="1"/>
    <s v="TC-069"/>
    <x v="6"/>
    <s v="ทดสอบข้อมูลการรายงานเครดิตบูโรในกรณีปรับโครงสร้างหนี้มีปัญหา"/>
    <s v="&quot;ถ้าพักหนี้ทั้งต้นและดอก ประวัติบูโรจะแสดงสถานะยังไง&quot;"/>
    <s v="จะถูกบันทึกเป็นบัญชีปรับโครงสร้างหนี้ (TDR) ซึ่งเป็นประเภทของสัญญาสำหรับลูกหนี้ที่มีปัญหา (ที่มา: ktb-info-v3p0.txt, บรรทัด 41-41)"/>
    <s v="ขออภัยค่ะ ข้อมูลที่ท่านสอบถามเกี่ยวกับสถานะในเครดิตบูโร (NCB) เมื่อเข้าร่วมมาตรการพักชำระหนี้ ระบุไว้เพียงว่าจะมีการรายงานข้อมูลใน NCB ว่าท่านได้เข้าร่วมมาตรการค่ะ_x000a__x000a_หากท่านต้องการทราบรายละเอียดเพิ่มเติม สามารถติดต่อสอบถามได้ที่ Krungthai Contact Center 02 111 1111 กด 99 หรือ BOT Contact Center 1213 ค่ะ_x000a__x000a__x000a_"/>
    <n v="3"/>
    <n v="1"/>
    <n v="5"/>
    <s v="บอทตอบถูกต้องตามข้อมูลที่ระบุใน Context ว่าจะมีการรายงานข้อมูลใน NCB ว่าเข้าร่วมมาตรการ และไม่ได้ให้ข้อมูลที่ผิดหรือ Hallucination แม้ว่าข้อมูลที่คาดหวัง (Expected Output) จะมีรายละเอียดเพิ่มเติมที่ไม่อยู่ใน Context ก็ตาม"/>
    <n v="3"/>
    <s v="บอทตอบตรงประเด็นในส่วนที่สามารถตอบได้จาก Context และเลือกที่จะไม่ฟันธงในรายละเอียดที่ไม่มีข้อมูล แต่แนะนำช่องทางการติดต่อเพิ่มเติม ซึ่งถือเป็นแนวทางที่ยอมรับได้และปลอดภัย"/>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เรื่องสถานะในเครดิตบูโร โดยระบุถึงการรายงานข้อมูลใน NCB"/>
    <s v="ผ่าน"/>
    <s v="หากต้องการให้บอทตอบรายละเอียดเพิ่มเติมเกี่ยวกับสถานะ TDR (บัญชีปรับโครงสร้างหนี้) ควรเพิ่มข้อมูลดังกล่าวลงใน Context"/>
  </r>
  <r>
    <x v="1"/>
    <s v="TC-070"/>
    <x v="6"/>
    <s v="แนะนำหน่วยงานช่วยเหลือภายนอกเมื่อเจรจากับเจ้าหนี้ไม่สำเร็จ"/>
    <s v="&quot;แบงก์ไม่ยอมให้พักหนี้เลย ทั้งที่เดือดร้อนจริง ติดต่อใครช่วยประสานงานได้บ้าง&quot;"/>
    <s v="สามารถติดต่อ BOT Contact Center 1213 หรือ SAM Call Center 1443 เพื่อขอคำปรึกษาและช่องทางช่วยเหลือ (ที่มา: ktb-info-1576-v3p1.txt, บรรทัด 39-39)"/>
    <s v="สวัสดีค่ะ สำหรับกรณีที่ท่านมีความประสงค์ต้องการความช่วยเหลือด้านการชำระหนี้ ท่านสามารถศึกษารายละเอียดและเงื่อนไขของโครงการ “คุณสู้ เราช่วย” เพื่อตรวจสอบคุณสมบัติเบื้องต้นได้ค่ะ _x000a__x000a_ทั้งนี้ มาตรการของผู้ให้บริการแต่ละแห่งมีเงื่อนไขที่แตกต่างกันค่ะ หากต้องการข้อมูลเพิ่มเติมหรือประสานงาน รบกวนติดต่อ Krungthai Contact Center 02 111 1111 กด 99 หรือ BOT Contact Center 1213 ค่ะ"/>
    <n v="3"/>
    <n v="1"/>
    <n v="3"/>
    <s v="บอทให้ข้อมูลโครงการ &quot;คุณสู้ เราช่วย&quot; และเงื่อนไขทั่วไปที่ถูกต้องตามเอกสาร รวมถึงเบอร์ BOT Contact Center 1213 ที่ถูกต้อง อย่างไรก็ตาม บอทได้เพิ่มเบอร์ Krungthai Contact Center ซึ่งไม่มีใน Context ที่ให้มา และไม่ได้ให้เบอร์ SAM Call Center 1443 ตาม Expected Output การให้ข้อมูลที่ไม่ปรากฏใน Context ถือเป็น Hallucination แต่เนื่องจากส่วนหลักของคำตอบ (โครงการและ BOT Contact Center) ถูกต้อง และเป็นลักษณะการตอบแบบกางเงื่อนไขเพื่อความปลอดภัย จึงให้ 3 คะแนน"/>
    <n v="3"/>
    <s v="บอทตอบตรงประเด็นโดยแนะนำโครงการที่เกี่ยวข้องกับการช่วยเหลือลูกหนี้ และให้ช่องทางการติดต่อเพื่อขอความช่วยเหลือเพิ่มเติม ซึ่งเป็นการตอบแบบกางเงื่อนไขและให้ทางเลือกแก่ลูกค้า ถือว่ายอมรับได้ตามเกณฑ์ &quot;Acceptable at 3&quot; ในกรณีที่บอทไม่ฟันธงหรือเลือกที่จะไม่ปฏิเสธลูกค้าโดยตรง"/>
    <n v="5"/>
    <s v="ภาษาเป็นธรรมชาติ สั้นกระชับ และจัดรูปแบบดี อ่าน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quot;คุณสู้ เราช่วย&quot; และข้อมูลที่บอทใช้ในการตอบคำถามส่วนใหญ่มาจาก Context ที่เกี่ยวข้อง"/>
    <s v="ผ่าน"/>
    <s v="บอทควรให้ข้อมูลช่องทางการติดต่อที่ครบถ้วนตาม Expected Output และหลีกเลี่ยงการเพิ่มข้อมูลที่ไม่มีใน Context ที่ให้มา เช่น เบอร์ Krungthai Contact Center ควรเพิ่มเบอร์ SAM Call Center 1443 ด้วย"/>
  </r>
  <r>
    <x v="0"/>
    <s v="TC-071"/>
    <x v="3"/>
    <s v="ทดสอบความถูกต้องของ กำหนดการสิ้นสุดโครงการระยะที่ 2"/>
    <s v="&quot;โครงการคุณสู้ยังสมัครทันไหมครับ เห็นว่าขยายเวลาเพิ่ม&quot;"/>
    <s v="สามารถลงทะเบียนได้จนถึงวันที่ 30 กันยายน 2568 เนื่องจากมีการขยายระยะเวลาจากเดิม"/>
    <s v="สวัสดีค่ะ สำหรับโครงการ “คุณสู้ เราช่วย” ได้มีการขยายระยะเวลาลงทะเบียนเข้าร่วมโครงการออกไปจนถึงวันที่ 30 กันยายน 2568 ค่ะ _x000a__x000a_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อีกครั้งนะคะ "/>
    <n v="5"/>
    <n v="1"/>
    <n v="5"/>
    <s v="ข้อมูลถูกต้อง 100% ตาม Context ทั้งเรื่องวันหมดเขตและคำเตือนให้ตรวจสอบเงื่อนไขเพิ่มเติม"/>
    <n v="5"/>
    <s v="ตอบตรงคำถามของลูกค้าที่สอบถามเรื่องการขยายเวลาและยังสมัครทันหรือไม่ พร้อมให้ข้อมูลที่ถูกต้องและคำแนะนำเพิ่มเติมที่เป็นประโยชน์"/>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คำถามและมีข้อมูลที่ถูกต้องครบถ้วน"/>
    <s v="ผ่าน"/>
    <s v="ไม่มีคำแนะนำเพิ่มเติม เนื่องจากคำตอบดีมากแล้ว"/>
  </r>
  <r>
    <x v="0"/>
    <s v="TC-072"/>
    <x v="3"/>
    <s v="ทดสอบการแนะนำ ช่องทางติดต่อและลงทะเบียน"/>
    <s v="&quot;อยากสมัครโครงการต้องไปที่ไหน หรือโทรเบอร์อะไรได้บ้าง&quot;"/>
    <s v="ติดต่อได้ที่ BOT Contact Center 1213, SAM Call Center 1443 หรือ Krungthai Contact Center 02 111 1111 กด 99 และสาขาธนาคารกรุงไทย"/>
    <s v="สำหรับการสมัครโครงการ “ปิดหนี้ไวไปต่อได้” ท่านสามารถติดต่อได้ที่ธนาคารกรุงไทยทุกสาขา หรือสอบถามผ่านช่องทาง ธปท. และ SAM ได้ตั้งแต่วันที่ 5 มกราคม 2569 เป็นต้นไปค่ะ "/>
    <n v="3"/>
    <n v="1"/>
    <n v="5"/>
    <s v="ข้อมูลการติดต่อสำหรับโครงการ &quot;ปิดหนี้ไวไปต่อได้&quot; ถูกต้อง 100% ตามเอกสารอ้างอิง"/>
    <n v="3"/>
    <s v="บอทตอบตรงประเด็นโดยให้ข้อมูลการติดต่อสำหรับโครงการปรับโครงสร้างหนี้ อย่างไรก็ตาม บอทเลือกที่จะให้ข้อมูลเฉพาะโครงการ &quot;ปิดหนี้ไวไปต่อได้&quot; แทนที่จะเป็นข้อมูลการติดต่อที่ครอบคลุมสำหรับโครงการปรับโครงสร้างหนี้ทั้งหมดตามที่คาดหวัง แต่ก็ถือว่ายอมรับได้เนื่องจากเป็นการให้แนวทางที่ถูกต้องแก่ลูกค้า"/>
    <n v="5"/>
    <s v="ภาษาเป็นธรรมชาติ สั้นกระชับ และเข้าใจง่าย"/>
    <s v="[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
    <n v="5"/>
    <s v="บอทดึงข้อมูลที่เกี่ยวข้องโดยตรงเกี่ยวกับโครงการ &quot;ปิดหนี้ไวไปต่อได้&quot; และช่องทางการติดต่อจากเอกสาร `ktb-info-1576-v3p1.txt`"/>
    <s v="ผ่าน"/>
    <s v="ควรพิจารณาให้ข้อมูลการติดต่อที่ครอบคลุมมากขึ้นสำหรับโครงการปรับโครงสร้างหนี้โดยรวม หรือสอบถามผู้ใช้ว่าสนใจโครงการใดเป็นพิเศษ หากคำถามของผู้ใช้มีความกว้างกว่านี้"/>
  </r>
  <r>
    <x v="0"/>
    <s v="TC-073"/>
    <x v="3"/>
    <s v="ทดสอบขั้นตอนกรณี สินเชื่อที่มีผู้กู้ร่วม"/>
    <s v="&quot;กู้ซื้อบ้านกับแฟนสองคน ต้องไปลงทะเบียนทั้งคู่เลยไหม&quot;"/>
    <s v="หากสัญญามีผู้ค้ำประกันหรือผู้กู้ร่วม ผู้ค้ำประกันต้องให้ความยินยอมและลงนามในสัญญาค้ำประกันใหม่"/>
    <s v="สวัสดีค่ะ สำหรับรายละเอียดการลงทะเบียนเข้าร่วมโครงการนั้น ข้อมูลที่ได้รับมาไม่ได้ระบุเงื่อนไขเฉพาะเจาะจงเกี่ยวกับการลงทะเบียนสำหรับผู้กู้ร่วมไว้ค่ะ_x000a__x000a_ทั้งนี้ มาตรการของผู้ให้บริการแต่ละแห่งมีเงื่อนไขที่แตกต่างกันค่ะ รบกวนคุณลูกค้าศึกษารายละเอียด คุณสมบัติ และเงื่อนไขจากสถาบันการเงินของท่านโดยตรง หรือติดต่อ Krungthai Contact Center 02 111 1111 กด 99 หรือ BOT Contact Center 1213 เพื่อสอบถามข้อมูลเพิ่มเติมนะคะ "/>
    <n v="3"/>
    <n v="1"/>
    <n v="3"/>
    <s v="บอทระบุว่าข้อมูลที่ได้รับมาไม่ได้ระบุเงื่อนไขเฉพาะเจาะจงเกี่ยวกับการลงทะเบียนสำหรับผู้กู้ร่วม ซึ่งเป็นความจริงตามเอกสารที่ให้มา และให้คำแนะนำที่ปลอดภัยให้ลูกค้าตรวจสอบกับสถาบันการเงินโดยตรง"/>
    <n v="3"/>
    <s v="บอทไม่ได้ฟันธงโดยตรง แต่เลือกที่จะให้คำแนะนำให้ลูกค้าตรวจสอบกับสถาบันการเงิน ซึ่งเป็นแนวทางที่ยอมรับได้เพื่อความปลอดภัยและลดความเสี่ยงจากการให้ข้อมูลผิดพลาด"/>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Context ที่ดึงมาเกี่ยวข้องกับโครงการและมาตรการ แต่ไม่ได้มีข้อมูลที่ระบุถึงการลงทะเบียนของผู้กู้ร่วมโดยตรง อย่างไรก็ตาม บอทได้ดึงข้อมูลที่ระบุว่ามาตรการของผู้ให้บริการแต่ละแห่งมีเงื่อนไขที่แตกต่างกันมาประกอบการตอบ ซึ่งถูกต้อง"/>
    <s v="ผ่าน"/>
    <s v="บอทควรพิจารณาเพิ่มข้อมูลเกี่ยวกับเงื่อนไขของผู้ค้ำประกัน (หากมี) ในมาตรการที่ 1 ซึ่งเป็นข้อมูลที่ใกล้เคียงที่สุดในเอกสารที่เกี่ยวข้องกับผู้ที่มีส่วนร่วมในสัญญาเงินกู้ เพื่อให้ข้อมูลครบถ้วนมากขึ้นก่อนแนะนำให้ติดต่อธนาคาร"/>
  </r>
  <r>
    <x v="0"/>
    <s v="TC-074"/>
    <x v="2"/>
    <s v="ทดสอบ บทลงโทษการก่อหนี้ใหม่ ภายใน 12 เดือนแรก"/>
    <s v="&quot;ถ้าเข้าโครงการมาตรการ 1 แล้ว แอบไปกดบัตรเครดิตใบใหม่จะเกิดอะไรขึ้น&quot;"/>
    <s v="ถือว่าผิดเงื่อนไข ห้ามทำสัญญาสินเชื่ออุปโภคบริโภคใหม่ใน 12 เดือนแรก และจะต้อง ออกจากมาตรการทันทีพร้อมชำระดอกเบี้ยที่พักไว้,"/>
    <s v="สำหรับการเข้าร่วมมาตรการที่ 1 หากท่านก่อหนี้ใหม่ (ทำสัญญาสินเชื่ออุปโภคบริโภคใหม่) ภายใน 12 เดือนแรกหลังเข้าร่วมมาตรการ ท่านจะต้องออกจากมาตรการและต้องชำระดอกเบี้ยที่ได้รับการพักไว้ทั้งหมดค่ะ_x000a__x000a_"/>
    <n v="5"/>
    <n v="1"/>
    <n v="5"/>
    <s v="บอทตอบถูกต้องตามเงื่อนไขของมาตรการที่ 1 ที่ระบุว่าห้ามทำสัญญาสินเชื่ออุปโภคบริโภคใหม่ใน 12 เดือนแรก และหากฝ่าฝืนจะต้องออกจากมาตรการและชำระดอกเบี้ยที่พักไว้"/>
    <n v="5"/>
    <s v="บอทตอบตรงประเด็นคำถามของลูกค้าและให้ข้อมูลผลลัพธ์ที่ถูกต้องตามเงื่อนไขของมาตรการ"/>
    <n v="5"/>
    <s v="ภาษาที่ใช้เข้าใจง่าย กระชับ และชัดเจน"/>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มาตรการที่ 1 และเงื่อนไขการเข้าร่วม"/>
    <s v="ผ่าน"/>
    <s v="-"/>
  </r>
  <r>
    <x v="0"/>
    <s v="TC-075"/>
    <x v="2"/>
    <s v="ทดสอบความเข้าใจเรื่อง การรายงานข้อมูลต่อ NCB"/>
    <s v="&quot;เข้าร่วมโครงการแล้ว ประวัติในบูโรของผมจะเป็นยังไง&quot;"/>
    <s v="จะถูกรายงานข้อมูลใน NCB ว่า &quot;เข้าร่วมมาตรการ&quot; เพื่อเป็นข้อมูลให้สถาบันการเงินทราบสถานะการปรับโครงสร้างหนี้,"/>
    <s v="สำหรับการเข้าร่วมมาตรการในโครงการ “คุณสู้ เราช่วย” นั้น ข้อมูลจะถูกรายงานใน NCB ว่าท่านได้เข้าร่วมมาตรการค่ะ  _x000a__x000a_หากท่านต้องการสอบถามข้อมูลเพิ่มเติม สามารถติดต่อ Krungthai Contact Center 02 111 1111 กด 99 หรือ BOT Contact Center 1213 ได้โดยตรงนะคะ"/>
    <n v="5"/>
    <n v="1"/>
    <n v="5"/>
    <s v="ข้อมูลถูกต้อง 100% ตาม Context ที่ระบุว่า &quot;จะถูกรายงานข้อมูลใน NCB ว่าเข้าร่วมมาตรการ&quot;"/>
    <n v="5"/>
    <s v="ตอบตรงคำถามของลูกค้าเกี่ยวกับประวัติในบูโรหลังเข้าร่วมโครงการ"/>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เกี่ยวข้องโดยตรงและดึงข้อมูลมาถูกโครงการและมาตรการ"/>
    <s v="ผ่าน"/>
    <s v="-"/>
  </r>
  <r>
    <x v="0"/>
    <s v="TC-076"/>
    <x v="2"/>
    <s v="ทดสอบผลกระทบกรณี ผิดนัดชำระค่างวดขั้นต่ำ"/>
    <s v="&quot;ถ้าเดือนไหนผมหมุนเงินไม่ทัน จ่ายค่างวดขั้นต่ำ 50% ไม่ได้ จะโดนตัดสิทธิ์ไหม&quot;"/>
    <s v="หากไม่สามารถชำระค่างวดขั้นต่ำได้ตามที่กำหนด จะต้องออกจากมาตรการและกลับมาชำระดอกเบี้ยที่ได้รับการพักไว้ทั้งหมด,"/>
    <s v="สวัสดีค่ะ หากท่านไม่สามารถชำระค่างวดตามที่กำหนดไว้ในเงื่อนไขของโครงการได้ ท่านจะต้องออกจากมาตรการและต้องชำระดอกเบี้ยที่ได้รับการพักไว้ค่ะ_x000a__x000a_ทั้งนี้ มาตรการของผู้ให้บริการแต่ละแห่งอาจมีเงื่อนไขที่แตกต่างกัน ท่านสามารถตรวจสอบรายละเอียดเพิ่มเติมได้ที่ Krungthai Contact Center 02 111 1111 กด 99 หรือ BOT Contact Center 1213 ค่ะ_x000a__x000a_"/>
    <n v="5"/>
    <n v="1"/>
    <n v="5"/>
    <s v="บอทตอบถูกต้อง 100% ตามเงื่อนไขที่ระบุในเอกสารอ้างอิง โดยเฉพาะประเด็นเรื่องการออกจากมาตรการและการชำระดอกเบี้ยที่พักไว้"/>
    <n v="5"/>
    <s v="บอทตอบตรงประเด็นคำถามของลูกค้าและให้ข้อมูลที่ถูกต้องครบถ้วนเกี่ยวกับผลที่จะเกิดขึ้นหากไม่สามารถชำระค่างวดขั้นต่ำได้"/>
    <n v="5"/>
    <s v="ภาษาที่ใช้เป็นธรรมชาติ สั้นกระชับ และเข้าใจง่าย มีการจัดรูปแบบที่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 โดยเฉพาะส่วนของมาตรการที่ 1 &quot;จ่ายตรง คงทรัพย์&quot; และเงื่อนไขการเข้าร่วมมาตรการ"/>
    <s v="ผ่าน"/>
    <s v="ไม่มีคำแนะนำเพิ่มเติม เนื่องจากคำตอบมีความถูกต้อง ชัดเจน และตรงประเด็น"/>
  </r>
  <r>
    <x v="0"/>
    <s v="TC-077"/>
    <x v="2"/>
    <s v="ทดสอบเงื่อนไขการได้รับ สิทธิยกเว้นดอกเบี้ยตั้งพัก"/>
    <s v="&quot;มาตรการที่ 1 บอกว่าพักดอกเบี้ย 3 ปี ผมจะได้รับยกเว้นดอกเบี้ยแน่นอนใช่ไหม&quot;"/>
    <s v="จะได้รับยกเว้นดอกเบี้ยทั้งหมด ก็ต่อเมื่อปฏิบัติตามเงื่อนไขตลอด 3 ปี และไม่ก่อหนี้เพิ่มในช่วง 12 เดือนแรกเท่านั้น,"/>
    <s v="สำหรับการพักดอกเบี้ยในมาตรการที่ 1 นั้น ดอกเบี้ยที่พักไว้จะได้รับการยกเว้นทั้งหมดก็ต่อเมื่อท่านสามารถปฏิบัติได้ตามเงื่อนไขตลอดระยะเวลา 3 ปีของมาตรการ และไม่ก่อหนี้ใหม่ในช่วง 12 เดือนแรกหลังเข้าร่วมโครงการค่ะ หากไม่สามารถปฏิบัติตามเงื่อนไขได้ ท่านจะต้องชำระดอกเบี้ยที่ได้รับการพักไว้ค่ะ_x000a__x000a_"/>
    <n v="5"/>
    <n v="1"/>
    <n v="5"/>
    <s v="บอทตอบถูกต้อง 100% ตามข้อมูลใน Context โดยระบุเงื่อนไขการยกเว้นดอกเบี้ยและผลลัพธ์หากไม่ปฏิบัติตามเงื่อนไขได้อย่างครบถ้วนและถูกต้อง"/>
    <n v="5"/>
    <s v="บอทตอบตรงประเด็นคำถามของลูกค้าที่ต้องการความชัดเจนเรื่องการยกเว้นดอกเบี้ย โดยการกางเงื่อนไขที่ถูกต้อง ทำให้ลูกค้าเข้าใจว่าการยกเว้นดอกเบี้ยนั้นมีเงื่อนไข ไม่ใช่การยกเว้นโดยอัตโนมัติ ซึ่งเป็นการตอบแบบ Safe Response ที่เหมาะสม"/>
    <n v="5"/>
    <s v="บอทใช้ภาษาที่เป็นธรรมชาติ เข้าใจง่าย และสื่อสารได้อย่างชัดเจน ไม่ซับซ้อน"/>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ที่ 1 และมีข้อมูลที่จำเป็นทั้งหมดสำหรับการตอบคำถาม"/>
    <s v="ผ่าน"/>
    <s v="ไม่มี"/>
  </r>
  <r>
    <x v="0"/>
    <s v="TC-078"/>
    <x v="2"/>
    <s v="ทดสอบ ข้อยกเว้นการก่อหนี้ใหม่สำหรับ SMEs"/>
    <s v="&quot;เป็นหนี้ SMEs ธุรกิจส่วนตัว ถ้าเข้าโครงการแล้วต้องกู้เงินมาหมุนเวียนเพิ่ม ทำได้ไหม&quot;"/>
    <s v="ทำได้ กรณีสินเชื่อธุรกิจ SMEs ที่จำเป็นต้องเสริมสภาพคล่อง เจ้าหนี้สามารถพิจารณาให้สินเชื่อเพิ่มเติมได้ตามความเหมาะสม,"/>
    <s v="สำหรับการกู้เงินเพิ่มเพื่อหมุนเวียนในธุรกิจนั้น หากท่านเข้าร่วมมาตรการ &quot;จ่ายตรง คงทรัพย์&quot; (มาตรการที่ 1) ท่านสามารถทำได้ค่ะ โดยเจ้าหนี้จะพิจารณาให้สินเชื่อเพิ่มเติมเพื่อเสริมสภาพคล่องตามความเหมาะสมของความสามารถในการชำระหนี้ของท่านค่ะ "/>
    <n v="5"/>
    <n v="1"/>
    <n v="5"/>
    <s v="บอทตอบถูกต้อง 100% ตามเงื่อนไขของมาตรการที่ 1 “จ่ายตรง คงทรัพย์” ที่ระบุว่าลูกหนี้สินเชื่อธุรกิจ SMEs สามารถกู้เงินเพื่อเสริมสภาพคล่องได้ โดยเจ้าหนี้จะพิจารณาตามความเหมาะสม"/>
    <n v="5"/>
    <s v="บอทตอบตรงประเด็นคำถามของลูกค้าที่สอบถามเกี่ยวกับการกู้เงินเพิ่มเพื่อหมุนเวียนในธุรกิจ SMEs และระบุมาตรการที่เกี่ยวข้องพร้อมเงื่อนไขที่ถูกต้อง"/>
    <n v="5"/>
    <s v="ภาษาที่ใช้เป็นธรรมชาติ เข้าใจง่าย และกระชับ"/>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มาตรการที่ 1 “จ่ายตรง คงทรัพย์” และเงื่อนไขการกู้เงินเพิ่มสำหรับ SMEs"/>
    <s v="ผ่าน"/>
    <s v="ไม่มี"/>
  </r>
  <r>
    <x v="0"/>
    <s v="TC-079"/>
    <x v="7"/>
    <s v="ทดสอบการให้ข้อมูลพื้นฐานเกี่ยวกับนิยามและหน่วยงานที่รับผิดชอบ"/>
    <s v="&quot;โครงการคุณสู้เราช่วยคืออะไรครับ ใครเป็นคนจัดทำขึ้นมา&quot;"/>
    <s v="เป็นมาตรการชั่วคราวเพื่อช่วยเหลือลูกหนี้รายย่อยและ SMEs โดยความร่วมมือของ ธปท., กระทรวงการคลัง, สศช., สมาคมธนาคารต่างๆ และ Non-Banks"/>
    <s v="โครงการ “คุณสู้ เราช่วย” เป็นมาตรการชั่วคราวที่จัดทำขึ้นเพื่อช่วยเหลือลูกหนี้รายย่อยและ SMEs เฉพาะกลุ่ม โดยธนาคารแห่งประเทศไทย (ธปท.) ร่วมกับกระทรวงการคลัง สำนักงานสภาพัฒนาการเศรษฐกิจและสังคมแห่งชาติ และสมาคมสถาบันการเงินต่างๆ ค่ะ "/>
    <n v="5"/>
    <n v="1"/>
    <n v="5"/>
    <s v="บอทให้ข้อมูลถูกต้อง 100% ตาม Context ทั้งในส่วนของโครงการคืออะไร และใครเป็นผู้จัดทำ โดยมีการสรุปชื่อสมาคมต่างๆ เป็น &quot;สมาคมสถาบันการเงินต่างๆ&quot; ซึ่งยังคงความถูกต้องและไม่ทำให้ข้อมูลผิดเพี้ยน"/>
    <n v="5"/>
    <s v="บอทตอบตรงคำถามของลูกค้าทั้งสองส่วนอย่างครบถ้วนและกระชับ"/>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และมีข้อมูลครบถ้วนสำหรับคำถามนี้"/>
    <s v="ผ่าน"/>
    <s v="ไม่มี"/>
  </r>
  <r>
    <x v="0"/>
    <s v="TC-080"/>
    <x v="7"/>
    <s v="ทดสอบความสามารถในการจำแนกมาตรการหลักทั้ง 3 รูปแบบ"/>
    <s v="&quot;โครงการนี้มีมาตรการช่วยเหลือแบบไหนบ้าง เห็นมีหลายชื่อจัง&quot;"/>
    <s v="มี 3 มาตรการหลักคือ: 1. จ่ายตรง คงทรัพย์ (รักษาหลักประกัน), 2. จ่าย ปิด จบ (ปิดหนี้เสียยอดต่ำ) และ 3. จ่าย ตัด ต้น (ปรับหนี้เสียบัตรเครดิต)"/>
    <s v="สวัสดีค่ะ สำหรับโครงการ “คุณสู้ เราช่วย” มีมาตรการช่วยเหลือแบ่งเป็น 3 รูปแบบหลัก ดังนี้ค่ะ_x000a__x000a_1. **มาตรการที่ 1 “จ่ายตรง คงทรัพย์”**: สำหรับหนี้บ้าน หนี้รถ และหนี้ธุรกิจ SMEs โดยลดค่างวดและพักดอกเบี้ย 3 ปี เพื่อรักษาหลักประกันไว้ค่ะ _x000a_2. **มาตรการที่ 2 “จ่าย ปิด จบ”**: สำหรับผู้ที่มีหนี้เสียยอดไม่สูง เพื่อให้สามารถชำระและปิดบัญชีได้เร็วขึ้นค่ะ _x000a_3. **มาตรการที่ 3 “จ่าย ตัด ต้น”**: สำหรับหนี้เสียที่ไม่มีหลักประกัน (เช่น บัตรเครดิต) โดยปรับโครงสร้างหนี้ให้ผ่อนชำระเป็นงวด และพักดอกเบี้ยไว้ 3 ปีค่ะ _x000a__x000a_เนื่องจากแต่ละมาตรการมีเงื่อนไขและคุณสมบัติที่แตกต่างกัน รบกวนคุณลูกค้าตรวจสอบรายละเอียดเพิ่มเติมก่อนลงทะเบียนนะคะ หากมีข้อสงสัยเพิ่มเติม สามารถติดต่อ Krungthai Contact Center 02 111 1111 กด 99 หรือ BOT Contact Center 1213 ได้เลยค่ะ"/>
    <n v="5"/>
    <n v="1"/>
    <n v="5"/>
    <s v="ข้อมูลที่บอทให้ถูกต้อง 100% ตาม Context และการตอบแบบมีเงื่อนไข (Safe Response) ถือว่าถูกต้องตามหลักการ"/>
    <n v="5"/>
    <s v="บอทตอบตรงคำถามและให้ข้อมูลครบถ้วนตามที่ลูกค้าต้องการทราบ โดยเลือกที่จะกางเงื่อนไขเพื่อให้ลูกค้าพิจารณาตนเอง ซึ่งเป็นแนวทางที่เหมาะสมสำหรับคำถามทั่วไป"/>
    <n v="5"/>
    <s v="ภาษาเป็นธรรมชาติ สั้นกระชับ จัดรูปแบบดีด้วยการใช้หัวข้อและ bullet points ทำให้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_x000a__x000a_---_x000a__x000a_[file_name: ktb-info-1576-v3p1.txt | lines: 21-36]_x000a_ปรับโครงสร้างหนี้ มีวิธีใดบ้าง?_x000a_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_x000a__x000a_1. การขยายเวลาชำระหนี้_x000a_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_x000a__x000a_2. เปลี่ยนประเภทหนี้ (Debt Conversion)_x000a_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_x000a__x000a_3. การพักชำระเงินต้น_x000a_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_x000a__x000a_4. มาตรการรัฐหรือ ธปท._x000a_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_x000a__x000a_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n v="5"/>
    <s v="Context ที่ดึงมาเกี่ยวข้องโดยตรงกับคำถามและมีข้อมูลครบถ้วนสำหรับตอบคำถาม"/>
    <s v="ผ่าน"/>
    <s v="ไม่มีคำแนะนำเพิ่มเติม เนื่องจากคำตอบดีเยี่ยมแล้ว"/>
  </r>
  <r>
    <x v="0"/>
    <s v="TC-081"/>
    <x v="7"/>
    <s v="ทดสอบการให้ข้อมูลเกี่ยวกับสถานะปัจจุบันและการขยายเวลาโครงการ"/>
    <s v="&quot;ตอนนี้ยังเปิดรับสมัครอยู่ไหม เห็นว่าโครงการจะจบแล้ว&quot;"/>
    <s v="ปัจจุบันขยายระยะเวลาลงทะเบียน (ระยะที่ 2) จนถึงวันที่ 30 กันยายน 2568"/>
    <s v="สวัสดีค่ะ สำหรับโครงการ “คุณสู้ เราช่วย” ยังคงเปิดรับสมัครอยู่นะคะ โดยมีการขยายระยะเวลาลงทะเบียนเข้าร่วมโครงการออกไปจนถึงวันที่ 30 กันยายน 2568 ค่ะ_x000a__x000a_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นะคะ "/>
    <n v="5"/>
    <n v="1"/>
    <n v="5"/>
    <s v="ข้อมูลถูกต้อง 100% ตาม Context ระบุว่าโครงการยังเปิดรับสมัครและขยายเวลาถึงวันที่ 30 กันยายน 2568 รวมถึงคำแนะนำให้ศึกษาเงื่อนไขเพิ่มเติมก็ถูกต้องตามเอกสาร"/>
    <n v="5"/>
    <s v="ตอบตรงคำถามของลูกค้าที่สอบถามว่าโครงการยังเปิดรับสมัครอยู่หรือไม่ และให้ข้อมูลที่ถูกต้องครบถ้วน"/>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และมีข้อมูลที่ใช้ตอบคำถามได้อย่างสมบูรณ์"/>
    <s v="ผ่าน"/>
    <s v="ไม่มีคำแนะนำเพิ่มเติม เนื่องจากคำตอบถูกต้องและสมบูรณ์"/>
  </r>
  <r>
    <x v="0"/>
    <s v="TC-082"/>
    <x v="7"/>
    <s v="ทดสอบความเข้าใจเรื่องกลุ่มเป้าหมาย (Target Group)"/>
    <s v="&quot;โครงการนี้ช่วยคนกลุ่มไหนได้บ้าง ต้องเป็นหนี้เสียอย่างเดียวหรือเปล่า&quot;"/>
    <s v="ครอบคลุมทั้งลูกหนี้รายย่อยและ SMEs ทั้งกลุ่มที่ยังไม่เป็นหนี้เสียแต่เริ่มมีปัญหา (มาตรการ 1) และกลุ่มที่เป็นหนี้เสียแล้ว (มาตรการ 2 และ 3)"/>
    <s v="สวัสดีค่ะ โครงการ “คุณสู้ เราช่วย” มีมาตรการช่วยเหลือลูกหนี้รายย่อยและ SMEs ที่หลากหลายค่ะ _x000a__x000a_สำหรับเงื่อนไขสถานะหนี้ ไม่จำเป็นต้องเป็นหนี้เสีย (NPL) เสมอไปค่ะ ขึ้นอยู่กับมาตรการที่เลือก:_x000a_1. มาตรการที่ 1: ช่วยเหลือลูกหนี้ที่ค้างชำระเกิน 30 วัน หรือลูกหนี้ที่ไม่ค้างชำระ/ค้างไม่เกิน 30 วันแต่เคยมีประวัติค้างชำระและปรับโครงสร้างหนี้มาตั้งแต่วันที่ 1 ม.ค. 65 _x000a_2. มาตรการที่ 2 และ 3: สำหรับลูกหนี้ที่มีสถานะเป็นหนี้เสีย (NPL) ค่ะ _x000a__x000a_ทั้งนี้ มาตรการของผู้ให้บริการแต่ละแห่งมีเงื่อนไขแตกต่างกัน แนะนำให้ศึกษาคุณสมบัติก่อนลงทะเบียนนะคะ หากต้องการสอบถามข้อมูลเพิ่มเติม สามารถติดต่อ Krungthai Contact Center 02 111 1111 กด 99 หรือ BOT Contact Center 1213 ค่ะ"/>
    <n v="5"/>
    <n v="1"/>
    <n v="5"/>
    <s v="บอทให้ข้อมูลถูกต้อง 100% ตาม Context โดยระบุกลุ่มเป้าหมายและเงื่อนไขสถานะหนี้ของแต่ละมาตรการได้อย่างถูกต้อง"/>
    <n v="5"/>
    <s v="บอทตอบตรงคำถามของลูกค้าทั้งสองส่วน คือ โครงการช่วยคนกลุ่มไหน และจำเป็นต้องเป็นหนี้เสียอย่างเดียวหรือไม่ โดยมีการแยกอธิบายตามมาตรการอย่างชัดเจน"/>
    <n v="5"/>
    <s v="บอทใช้ภาษาที่เข้าใจง่าย มีการจัดรูปแบบโดยใช้หัวข้อและ bullet points ทำให้ข้อมูลอ่านง่ายและเป็นระเบียบ"/>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คำถามของลูกค้าเกี่ยวกับโครงการ &quot;คุณสู้ เราช่วย&quot; และเงื่อนไขการเข้าร่วมมาตรการต่างๆ"/>
    <s v="ผ่าน"/>
    <s v="ไม่มีคำแนะนำเพิ่มเติม เนื่องจากคำตอบมีความถูกต้อง ครบถ้วน และเข้าใจง่าย"/>
  </r>
  <r>
    <x v="0"/>
    <s v="TC-083"/>
    <x v="7"/>
    <s v="ทดสอบการอธิบายวัตถุประสงค์เชิงกลยุทธ์ของโครงการ"/>
    <s v="&quot;สรุปแล้วเป้าหมายหลักของโครงการคุณสู้คืออะไรกันแน่&quot;"/>
    <s v="เพื่อช่วยให้ลูกหนี้สามารถปรับโครงสร้างหนี้แบบผ่อนปรน, ลดค่างวด, ลดภาระดอกเบี้ย และสามารถรักษาทรัพย์สินหลักประกันไว้ได้พร้อมเริ่มต้นใหม่"/>
    <s v="สวัสดีค่ะ สำหรับโครงการ “คุณสู้ เราช่วย” มีเป้าหมายหลักคือการออกมาตรการชั่วคราวเพื่อช่วยเหลือลูกหนี้รายย่อยและ SMEs เฉพาะกลุ่ม โดย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ค่ะ "/>
    <n v="5"/>
    <n v="1"/>
    <n v="5"/>
    <s v="คำตอบของบอทถูกต้อง 100% ตามข้อมูลใน Context ที่ระบุว่าโครงการมีเป้าหมายเพื่อช่วยเหลือลูกหนี้รายย่อยและ SMEs เฉพาะกลุ่ม และครอบคลุมลูกหนี้ประเภทใดบ้าง"/>
    <n v="5"/>
    <s v="บอทตอบตรงคำถามที่ลูกค้าต้องการทราบเป้าหมายหลักของโครงการได้อย่างถูกต้องและครบถ้วน"/>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 (khunsoo-v3p0.txt | lines: 1-6) เกี่ยวข้องโดยตรงและมีข้อมูลที่ใช้ตอบคำถามได้อย่างสมบูรณ์"/>
    <s v="ผ่าน"/>
    <s v="ไม่มี เนื่องจากคำตอบถูกต้องและตรงประเด็น"/>
  </r>
  <r>
    <x v="0"/>
    <s v="TC-084"/>
    <x v="8"/>
    <s v="ทดสอบการตอบคำถามแนว Chitchat/ส่วนตัว"/>
    <s v="&quot;กินข้าวหรือยังจ๊ะบอท วันนี้มีเมนูอะไรแนะนำไหม&quot;"/>
    <s v="ไม่พบข้อมูลการแนะนำเมนูอาหาร (ตามกฎข้อ 10 ใน Instruction)"/>
    <s v="ขออภัยค่ะ ข้อมูลที่สอบถามไม่เกี่ยวข้องกับเงื่อนไขของโครงการที่ดิฉันดูแลอยู่ค่ะ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นะคะ"/>
    <n v="5"/>
    <n v="1"/>
    <n v="5"/>
    <s v="บอทไม่ได้ให้ข้อมูลที่ผิดพลาดหรือมโนขึ้นมา แต่แจ้งว่าคำถามไม่เกี่ยวข้องกับข้อมูลที่ดูแลอยู่ ซึ่งถูกต้องตามหลักการ Safe Response"/>
    <n v="5"/>
    <s v="บอทตอบตรงประเด็นว่าไม่สามารถให้ข้อมูลตามที่ลูกค้าสอบถามได้ และแนะนำช่องทางการติดต่อที่เกี่ยวข้องกับโครงการที่บอทดูแล ซึ่งเป็นการจัดการคำถามนอกเรื่องที่เหมาะสม"/>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ไม่ได้ดึงข้อมูลจาก Context มาตอบโดยตรง เนื่องจากคำถามเป็น Off-topic แต่การตอบว่าไม่พบข้อมูลและแนะนำช่องทางติดต่อถือว่าเหมาะสมกับสถานการณ์"/>
    <s v="ผ่าน"/>
    <s v="ไม่มี"/>
  </r>
  <r>
    <x v="0"/>
    <s v="TC-085"/>
    <x v="8"/>
    <s v="ทดสอบคำถามแนวความเชื่อ/หวย"/>
    <s v="&quot;งวดนี้เลขเด็ดอะไรดี ขอ 3 ตัวตรงๆ จะเอาเงินไปใช้หนี้&quot;"/>
    <s v="ไม่พบข้อมูลเลขเด็ดงวดนี้ (ตามกฎข้อ 10 ใน Instruction)"/>
    <s v="ต้องขออภัยด้วยค่ะ ข้อมูลที่ท่านสอบถามมาไม่พบในรายละเอียดโครงการค่ะ หากท่านมีความประสงค์ต้องการความช่วยเหลือด้านการจัดการหนี้สิน สามารถศึกษาข้อมูลโครงการ “คุณสู้ เราช่วย” ได้นะคะ_x000a__x000a_หากต้องการสอบถามข้อมูลเพิ่มเติม สามารถติดต่อ Krungthai Contact Center 02 111 1111 กด 99 หรือ BOT Contact Center 1213 ค่ะ"/>
    <n v="5"/>
    <n v="1"/>
    <n v="5"/>
    <s v="บอทตอบถูกต้องว่าไม่พบข้อมูลที่สอบถามในรายละเอียดโครงการ และแนะนำโครงการที่เกี่ยวข้องกับการจัดการหนี้สิน รวมถึงให้ข้อมูลติดต่อที่ถูกต้อง"/>
    <n v="5"/>
    <s v="บอทตอบตรงประเด็นโดยปฏิเสธคำถามที่ไม่เกี่ยวข้องและแนะนำบริการที่เกี่ยวข้องกับวัตถุประสงค์ของโครงการ (การจัดการหนี้สิน) ซึ่งเป็นการประยุกต์ใช้ข้อมูลได้ดีในสถานการณ์ที่คำถามไม่ตรงกับข้อมูลที่มี"/>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สามารถระบุได้ว่าคำถามไม่เกี่ยวข้องกับข้อมูลที่ดึงมา และสามารถแนะนำโครงการที่เกี่ยวข้องกับหนี้สินได้ถูกต้อง"/>
    <s v="ผ่าน"/>
    <s v="ไม่มีคำแนะนำเพิ่มเติม บอทตอบคำถามนอกเรื่องได้อย่างเหมาะสมและเป็นประโยชน์"/>
  </r>
  <r>
    <x v="0"/>
    <s v="TC-086"/>
    <x v="8"/>
    <s v="ทดสอบการรับมือกับคำด่าหรือคำหยาบคาย"/>
    <s v="&quot;บอทโง่มาก ถามอะไรก็ตอบไม่ได้เลย&quot;"/>
    <s v="ไม่พบข้อมูลการตอบโต้คำด่า (ควรตอบอย่างสุภาพหรือระบุว่าไม่พบข้อมูลตามหัวข้อที่ถาม)"/>
    <s v="ต้องขออภัยด้วยนะคะที่ข้อมูลอาจไม่ตรงกับความต้องการของท่าน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ค่ะ"/>
    <n v="1"/>
    <n v="0"/>
    <n v="1"/>
    <s v="บอทให้ข้อมูลเบอร์ติดต่อ Krungthai Contact Center และ BOT Contact Center ซึ่งไม่มีอยู่ในเอกสารอ้างอิง (Context) ถือเป็นการ Hallucination"/>
    <n v="3"/>
    <s v="บอทตอบกลับด้วยความสุภาพและพยายามให้ความช่วยเหลือโดยการแนะนำช่องทางการติดต่อเพิ่มเติม แม้ว่าคำถามของลูกค้าจะเป็นการบ่นถึงประสิทธิภาพของบอทโดยตรง ไม่ได้ถามเกี่ยวกับโครงการ “คุณสู้ เราช่วย” โดยเฉพาะ แต่การตอบแบบนี้ถือว่ายอมรับได้ในแง่ของการรักษาความสัมพันธ์กับลูกค้าและพยายามเปลี่ยนประเด็นไปสู่การให้ความช่วยเหลือที่บอทคิดว่าเกี่ยวข้อง (ถึงแม้ข้อมูลที่ให้จะผิดก็ตาม)"/>
    <n v="5"/>
    <s v="ภาษาที่ใช้เป็นธรรมชาติ สุภาพ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1"/>
    <s v="ข้อมูลเบอร์ติดต่อที่บอทให้มาไม่ได้ถูกดึงมาจาก Context ที่ให้มา"/>
    <s v="ไม่ผ่าน"/>
    <s v="บอทไม่ควรให้ข้อมูลที่ไม่มีอยู่ใน Context โดยเฉพาะข้อมูลสำคัญอย่างเบอร์ติดต่อ ควรตอบอย่างสุภาพและระบุว่าไม่พบข้อมูลตามหัวข้อที่ถาม หรือเสนอความช่วยเหลือในหัวข้อที่บอทมีข้อมูลเท่านั้น"/>
  </r>
  <r>
    <x v="0"/>
    <s v="TC-087"/>
    <x v="8"/>
    <s v="ทดสอบคำถามสภาพอากาศ"/>
    <s v="&quot;พรุ่งนี้ฝนจะตกไหม แถวพหลโยธิน&quot;"/>
    <s v="ไม่พบข้อมูลพยากรณ์อากาศ (ตามกฎข้อ 10 ใน Instruction)"/>
    <s v="ต้องขออภัยด้วยค่ะ ข้อมูลเรื่องพยากรณ์อากาศไม่ปรากฏอยู่ในเงื่อนไขโครงการที่ดิฉันดูแลอยู่ค่ะ_x000a__x000a_หากคุณลูกค้ามีข้อสงสัยเพิ่มเติมเกี่ยวกับบริการของธนาคาร สามารถติดต่อ Krungthai Contact Center 02 111 1111 กด 99 หรือ BOT Contact Center 1213 ได้โดยตรงนะคะ"/>
    <n v="5"/>
    <n v="1"/>
    <n v="5"/>
    <s v="บอทตอบตามจริงว่าไม่มีข้อมูลพยากรณ์อากาศในเงื่อนไขโครงการที่ดูแลอยู่ ซึ่งสอดคล้องกับ Context ที่ให้มาซึ่งไม่มีข้อมูลพยากรณ์อากาศ"/>
    <n v="5"/>
    <s v="บอทตอบตรงประเด็นว่าไม่สามารถให้ข้อมูลพยากรณ์อากาศได้ และแนะนำช่องทางการติดต่อที่เกี่ยวข้องกับบริการของธนาคาร ซึ่งเป็นการจัดการคำถามนอกเรื่องได้อย่างเหมาะสมและปลอดภัย"/>
    <n v="5"/>
    <s v="ภาษาที่ใช้เป็นธรรมชาติ เข้าใจง่าย และกระชับ"/>
    <s v="[file_name: ktb-info-1574-v3p1.txt | lines: 25-43]_x000a_การรวมหนี้เป็นก้อนเดียว ดีอย่างไร?_x000a_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_x000a_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_x000a_การรวมหนี้เป็นการรักษาประวัติข้อมูลเครดิต เพราะขอสินเชื่อรวมหนี้ได้สำเร็จ ก่อนที่หนี้เหล่านั้นจะกลายเป็นหนี้เสีย_x000a_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_x000a_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_x000a__x000a_-----*****-----_x000a__x000a_ประเภทของหนี้ที่สามารถ &quot;รวมหนี้เป็นก้อนเดียว&quot; ได้มีอะไรบ้าง?_x000a_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_x000a__x000a_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_x000a_หนี้บัตรกดเงินสด: อัตราดอกเบี้ยอาจสูงถึง 25% ต่อปี เป็นหนี้ที่กัดกินสภาพคล่องของผู้กู้อย่างมาก หากปล่อยไว้นานจะยิ่งสะสมดอกเบี้ย_x000a_หนี้สินเชื่อส่วนบุคคล: ทั้งสินเชื่อที่ไม่มีหลักประกัน และสินเชื่อที่มีหลักประกัน สามารถนำมารวมได้ทั้งสองแบบ_x000a_หนี้สินเชื่อเช่าซื้อสินค้า: เช่น สินเชื่อผ่อนสินค้า เครื่องใช้ไฟฟ้า โทรศัพท์มือถือ_x000a_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_x000a_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_x000a_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_x000a__x000a_---_x000a__x000a_[file_name: ktb-info-1574-v3p1.txt | lines: 47-63]_x000a_รวมหนี้เป็นก้อนเดียวมีข้อควรระวังอะไรที่ควรรู้?_x000a_สินเชื่อรวมหนี้หรือการรวมหนี้เป็นก้อนเดียวเป็นทางเลือกสำหรับผู้ที่ต้องการจัดการหนี้หลายที่ให้ง่ายขึ้น แต่ต้อง &quot;คิดให้รอบคอบ&quot; เพราะมีข้อควรระวังสำคัญที่ควรพิจารณา ได้แก่_x000a__x000a_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_x000a_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_x000a_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_x000a_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_x000a_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_x000a__x000a_-----*****-----_x000a__x000a_ใครควรพิจารณารวมหนี้เป็นก้อนเดียว?_x000a_ผู้ที่มีปัญหาภาระหนี้จากหลายแหล่ง และต้องการลดความซับซ้อนในการบริหารจัดการหนี้_x000a_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_x000a_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_x000a_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_x000a_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_x000a__x000a_---_x000a__x000a_[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tb-info-1574-v3p1.txt | lines: 1-21]_x000a_รวมหนี้เป็นก้อนเดียว เคล็ดลับจ่ายดอกเบี้ยถูกลง พร้อมแนะนำสินเชื่อรวมหนี้_x000a__x000a_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_x000a__x000a_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_x000a__x000a_Highlight_x000a_สินเชื่อรวมหนี้ (Debt Consolidation Loan) หรือ “รวมหนี้เป็นก้อนเดียว” คืออะไร?_x000a_การรวมหนี้เป็นก้อนเดียว ดีอย่างไร?_x000a_ประเภทของหนี้ที่สามารถรวมเป็นก้อนเดียวได้มีอะไรบ้าง?_x000a_รวมหนี้เป็นก้อนเดียวมีข้อควรระวังอะไรที่ควรรู้?_x000a_ใครควรพิจารณารวมหนี้เป็นก้อนเดียว?_x000a_ขั้นตอนหลักในการรวมหนี้ มีอะไรบ้าง?_x000a_หลังรวมหนี้แล้ว ทำอย่างไรไม่ให้กลับไปเป็นหนี้ซ้ำ?_x000a__x000a_-----*****-----_x000a__x000a_สินเชื่อรวมหนี้ (Debt Consolidation Loan) หรือ “รวมหนี้เป็นก้อนเดียว” คืออะไร?_x000a_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_x000a__x000a_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_x000a__x000a_---_x000a__x000a_[file_name: ktb-info-1574-v3p1.txt | lines: 67-77]_x000a_ขั้นตอนหลักในการรวมหนี้ มีอะไรบ้าง?_x000a_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_x000a__x000a_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_x000a_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_x000a_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_x000a_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_x000a_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_x000a_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_x000a_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_x000a_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
    <n v="5"/>
    <s v="บอทไม่ได้ดึงข้อมูลที่ไม่เกี่ยวข้องจาก Context มาตอบ และระบุอย่างถูกต้องว่าข้อมูลที่ลูกค้าถามอยู่นอกเหนือขอบเขตความรู้ของบอท"/>
    <s v="ผ่าน"/>
    <s v="ไม่มีคำแนะนำเพิ่มเติม เนื่องจากบอทจัดการคำถามนอกเรื่องได้อย่างเหมาะสมแล้ว"/>
  </r>
  <r>
    <x v="0"/>
    <s v="TC-088"/>
    <x v="8"/>
    <s v="ทดสอบคำถามทั่วไปที่ไม่เกี่ยวกับหนี้"/>
    <s v="&quot;ช่วยสอนวิธีทำผัดกะเพราเนื้อหน่อย&quot;"/>
    <s v="ไม่พบข้อมูลวิธีทำผัดกะเพราเนื้อ (ตามกฎข้อ 10 ใน Instruction)"/>
    <s v="ขออภัยค่ะ ข้อมูลที่คุณสอบถามเกี่ยวกับวิธีทำอาหารไม่ได้ระบุอยู่ในเงื่อนไขของโครงการค่ะ หากคุณมีข้อสงสัยเกี่ยวกับมาตรการช่วยเหลือลูกหนี้ สามารถติดต่อ Krungthai Contact Center 02 111 1111 กด 99 หรือ BOT Contact Center 1213 ได้โดยตรงนะคะ"/>
    <n v="5"/>
    <n v="1"/>
    <n v="5"/>
    <s v="บอทตอบถูกต้องว่าข้อมูลที่สอบถามไม่ได้อยู่ในเงื่อนไขของโครงการ และให้ข้อมูลติดต่อที่ถูกต้อง"/>
    <n v="5"/>
    <s v="บอทตอบตรงประเด็นโดยแจ้งว่าคำถามไม่เกี่ยวข้องกับข้อมูลที่มี และแนะนำช่องทางที่ถูกต้องสำหรับคำถามที่เกี่ยวข้องกับโครงการ"/>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เข้าใจว่าคำถามไม่เกี่ยวข้องกับ Context ที่ให้มา และไม่ได้พยายามดึงข้อมูลที่ไม่เกี่ยวข้องมาตอบ"/>
    <s v="ผ่าน"/>
    <s v="ไม่มี"/>
  </r>
  <r>
    <x v="0"/>
    <s v="TC-089"/>
    <x v="8"/>
    <s v="ทดสอบการจัดการคำถามแนว Emotion/หาเพื่อนคุย"/>
    <s v="&quot;เหงาจังเลย อยากหาคนคุยด้วย&quot;"/>
    <s v="ไม่พบข้อมูลการคุยเป็นเพื่อน (ตามกฎข้อ 10 ใน Instruction)"/>
    <s v="ต้องขออภัยด้วยค่ะ ข้อมูลที่ท่านสอบถามไม่เกี่ยวข้องกับรายละเอียดโครงการหรือมาตรการช่วยเหลือลูกหนี้ที่ระบุไว้ในเอกสารค่ะ_x000a__x000a_หากท่านมีข้อสงสัยเกี่ยวกับมาตรการช่วยเหลือลูกหนี้ สามารถติดต่อ Krungthai Contact Center 02 111 1111 กด 99 หรือ BOT Contact Center 1213 ได้โดยตรงนะคะ"/>
    <n v="5"/>
    <n v="1"/>
    <n v="5"/>
    <s v="บอทระบุอย่างถูกต้องว่าคำถามไม่เกี่ยวข้องกับเอกสารที่ให้มา ซึ่งเป็นความจริง 100% การให้เบอร์ติดต่อเป็นข้อมูลทั่วไปที่ไม่ได้อ้างอิงจากเอกสารโดยตรง แต่ก็ไม่ได้ขัดแย้งกับข้อเท็จจริงและเป็นแนวทางปฏิบัติที่ปลอดภัยสำหรับบอทธนาคาร"/>
    <n v="5"/>
    <s v="บอทตอบตรงประเด็นโดยการแจ้งว่าคำถามไม่เกี่ยวข้องกับเนื้อหาของเอกสาร และไม่พยายามตอบคำถามนอกเหนือขอบเขตความรู้ของตนเอง ซึ่งเป็นการตอบที่เหมาะสมและปลอดภัยสำหรับ AI ของธนาคาร"/>
    <n v="5"/>
    <s v="ภาษาที่ใช้เป็นธรรมชาติ เข้าใจง่าย และจัดรูปแบบได้ดี"/>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สามารถประเมินได้อย่างถูกต้องว่าคำถามของผู้ใช้ไม่เกี่ยวข้องกับข้อมูลที่ดึงมาได้เลย"/>
    <s v="ผ่าน"/>
    <s v="คำตอบของบอทมีความเหมาะสมและปลอดภัยดีแล้ว ไม่จำเป็นต้องปรับปรุงเพิ่มเติม"/>
  </r>
  <r>
    <x v="0"/>
    <s v="TC-090"/>
    <x v="8"/>
    <s v="ทดสอบการขอเงิน/ยืมเงินจากบอทโดยตรง"/>
    <s v="&quot;ยืมเงินบอทหน่อยสัก 500 พรุ่งนี้คืน&quot;"/>
    <s v="ไม่พบข้อมูลการให้ยืมเงินส่วนตัว (ตามกฎข้อ 10 ใน Instruction)"/>
    <s v="ต้องขออภัยด้วยค่ะ ข้อมูลที่ท่านสอบถามไม่พบในรายละเอียดโครงการที่ดิฉันมีค่ะ โครงการ “คุณสู้ เราช่วย” เป็นมาตรการช่วยเหลือปรับโครงสร้างหนี้สำหรับลูกหนี้ที่มีหนี้เดิมอยู่แล้วเท่านั้น ไม่ใช่การให้กู้ยืมเงินใหม่ค่ะ_x000a__x000a_หากท่านมีข้อสงสัยเพิ่มเติม สามารถติดต่อ Krungthai Contact Center 02 111 1111 กด 99 หรือ BOT Contact Center 1213 ได้โดยตรงค่ะ"/>
    <n v="5"/>
    <n v="1"/>
    <n v="5"/>
    <s v="บอทระบุถูกต้องว่าโครงการ “คุณสู้ เราช่วย” เป็นมาตรการช่วยเหลือปรับโครงสร้างหนี้ ไม่ใช่การให้กู้ยืมเงินใหม่ ซึ่งสอดคล้องกับข้อมูลใน Context ที่อธิบายถึงมาตรการต่างๆ เป็นการปรับโครงสร้างหนี้"/>
    <n v="5"/>
    <s v="บอทตอบตรงประเด็นโดยปฏิเสธคำขอที่ไม่เกี่ยวข้องและให้เหตุผลที่ถูกต้อง พร้อมทั้งให้ข้อมูลติดต่อเพิ่มเติมที่เป็นประโยชน์"/>
    <n v="5"/>
    <s v="คำตอบใช้ภาษาที่เข้าใจง่าย ชัดเจน และกระชับ"/>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สามารถใช้ข้อมูลจาก Context เพื่อยืนยันว่าคำถามของลูกค้าไม่อยู่ในขอบเขตของโครงการที่ระบุไว้ได้อย่างถูกต้อง"/>
    <s v="ผ่าน"/>
    <s v="ไม่มี"/>
  </r>
  <r>
    <x v="0"/>
    <s v="TC-091"/>
    <x v="8"/>
    <s v="ทดสอบคำถามประเด็นสังคม/การเมือง"/>
    <s v="&quot;การเมืองช่วงนี้เป็นยังไงบ้าง ใครจะเป็นนายก&quot;"/>
    <s v="ไม่พบข้อมูลสถานการณ์การเมือง (ตามกฎข้อ 10 ใน Instruction)"/>
    <s v="ขออภัยค่ะ ข้อมูลดังกล่าวไม่ปรากฏอยู่ในรายละเอียดโครงการที่ดิฉันดูแลอยู่ค่ะ หากท่านมีข้อสงสัยเกี่ยวกับมาตรการช่วยเหลือลูกหนี้ สามารถสอบถามข้อมูลเพิ่มเติมได้ที่ Krungthai Contact Center 02 111 1111 กด 99 หรือ BOT Contact Center 1213 นะคะ"/>
    <n v="5"/>
    <n v="1"/>
    <n v="5"/>
    <s v="บอทตอบอย่างถูกต้องว่าข้อมูลที่ลูกค้าสอบถามไม่ปรากฏอยู่ในรายละเอียดโครงการที่ดูแลอยู่ ซึ่งสอดคล้องกับ Context ที่ไม่มีข้อมูลการเมือง"/>
    <n v="5"/>
    <s v="บอทตอบตรงประเด็นโดยการแจ้งว่าไม่สามารถให้ข้อมูลในเรื่องการเมืองได้ และแนะนำช่องทางการติดต่อที่เกี่ยวข้องกับมาตรการช่วยเหลือลูกหนี้ ซึ่งเป็นขอบเขตงานของบอทอย่างเหมาะสม"/>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ไม่ได้ดึงข้อมูลจาก Context มาตอบโดยตรง เนื่องจากคำถามอยู่นอกเหนือขอบเขตของ Context แต่บอทสามารถระบุได้ว่าคำถามไม่เกี่ยวข้องกับข้อมูลที่มีอยู่และให้คำแนะนำที่เหมาะสม ซึ่งถือเป็นการจัดการ Retrieval ที่ดีเยี่ยมสำหรับคำถามนอกเรื่อง"/>
    <s v="ผ่าน"/>
    <s v="ไม่มี เนื่องจากคำตอบของบอทเหมาะสมและถูกต้องสำหรับคำถามนอกเรื่อง"/>
  </r>
  <r>
    <x v="0"/>
    <s v="TC-092"/>
    <x v="8"/>
    <s v="ทดสอบการรับมือกับ Gibberish/Spam"/>
    <s v="&quot;asdfghjkl;'&quot;"/>
    <s v="ไม่พบข้อมูล asdfghjkl;' (ตามกฎข้อ 10 ใน Instruction)"/>
    <s v="สวัสดีค่ะ ขออภัยด้วยนะคะ เนื่องจากข้อมูลที่คุณสอบถามมาไม่ชัดเจน ดิฉันจึงไม่สามารถตรวจสอบรายละเอียดให้ได้ค่ะ_x000a__x000a_หากคุณต้องการสอบถามข้อมูลเกี่ยวกับโครงการ “คุณสู้ เราช่วย” สามารถติดต่อสอบถามเพิ่มเติมได้ที่ Krungthai Contact Center 02 111 1111 กด 99 หรือ BOT Contact Center 1213 นะคะ"/>
    <n v="3"/>
    <n v="1"/>
    <n v="3"/>
    <s v="บอทตอบว่าไม่เข้าใจคำถาม ซึ่งถูกต้องตามสถานการณ์ แต่ข้อมูลเบอร์ติดต่อไม่ได้มาจาก Context ที่ให้มาโดยตรง"/>
    <n v="5"/>
    <s v="บอทตอบตรงประเด็นกับคำถามที่ไม่ชัดเจน โดยแจ้งว่าไม่สามารถตรวจสอบข้อมูลได้และแนะนำช่องทางการติดต่อเพิ่มเติม ซึ่งเหมาะสมกับสถานการณ์"/>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3"/>
    <s v="บอทไม่ได้ดึงข้อมูลเฉพาะจาก Context เนื่องจากคำถามไม่ชัดเจน แต่สามารถระบุหัวข้อโครงการที่เกี่ยวข้องได้"/>
    <s v="ผ่าน"/>
    <s v="ไม่มีคำแนะนำเพิ่มเติม เนื่องจากคำตอบของบอทมีความเหมาะสมและเป็นมิตรกับผู้ใช้มากกว่า Expected Output"/>
  </r>
  <r>
    <x v="0"/>
    <s v="TC-093"/>
    <x v="8"/>
    <s v="ทดสอบคำถามที่ไม่เหมาะสมต่อพนักงาน"/>
    <s v="&quot;ขอเบอร์คอลเซ็นเตอร์สาวๆ สวยๆ หน่อยได้ไหม&quot;"/>
    <s v="ไม่พบข้อมูลเบอร์ติดต่อพนักงานเฉพาะเจาะจง (ตามกฎข้อ 10 ใน Instruction)"/>
    <s v="ขออภัยค่ะ ข้อมูลดังกล่าวไม่ปรากฏอยู่ในเงื่อนไขของโครงการค่ะ หากท่านต้องการสอบถามข้อมูลเพิ่มเติมเกี่ยวกับมาตรการช่วยเหลือลูกหนี้ สามารถติดต่อ Krungthai Contact Center 02 111 1111 กด 99 หรือ BOT Contact Center 1213 ได้โดยตรงนะคะ"/>
    <n v="1"/>
    <n v="0"/>
    <n v="1"/>
    <s v="บอทระบุว่าข้อมูลที่ลูกค้าต้องการไม่ปรากฏในเงื่อนไขของโครงการ ซึ่งถูกต้องตาม Context แต่บอทได้ให้เบอร์โทรศัพท์ของ Krungthai Contact Center และ BOT Contact Center ซึ่งไม่มีอยู่ใน Context ที่ให้มา ถือเป็นการ Hallucination"/>
    <n v="3"/>
    <s v="คำถามของลูกค้าไม่ตรงประเด็นและไม่เหมาะสม บอทตอบโดยปฏิเสธคำขอที่ไม่เหมาะสมและพยายามเปลี่ยนประเด็นไปสู่ข้อมูลที่เกี่ยวข้องกับโครงการช่วยเหลือลูกหนี้ ซึ่งถือว่ายอมรับได้ในการจัดการคำถามนอกเรื่อง"/>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1"/>
    <s v="บอทไม่ได้ดึงข้อมูลเบอร์ติดต่อจาก Context ที่ให้มา และได้สร้างข้อมูลเบอร์ติดต่อขึ้นมาเอง"/>
    <s v="ไม่ผ่าน"/>
    <s v="บอทควรตอบตามข้อมูลที่มีใน Context เท่านั้น หากไม่มีข้อมูลที่เกี่ยวข้อง ควรแจ้งว่าไม่พบข้อมูลที่ต้องการโดยไม่ต้องให้ข้อมูลที่ไม่ได้มาจาก Context เพื่อหลีกเลี่ยงการ Hallucination"/>
  </r>
  <r>
    <x v="0"/>
    <s v="TC-094"/>
    <x v="3"/>
    <s v="ทดสอบความถูกต้องของ กำหนดการสิ้นสุดโครงการ"/>
    <s v="&quot;โครงการคุณสู้ระยะที่ 2 จะปิดรับสมัครวันไหนครับ&quot;"/>
    <s v="The user sent a test message asking to verify a project's end date. This is off-topic and the intent is unclear. Therefore, the conversation is routed to the unknown agent."/>
    <s v="สวัสดีค่ะ สำหรับโครงการ “คุณสู้ เราช่วย” ได้มีการขยายระยะเวลาลงทะเบียนเข้าร่วมโครงการออกไปจนถึงวันที่ 30 กันยายน 2568 ค่ะ "/>
    <n v="5"/>
    <n v="1"/>
    <n v="5"/>
    <s v="ข้อมูลถูกต้อง 100% ตาม Context ที่ระบุว่ามีการขยายระยะเวลาลงทะเบียนเข้าร่วมโครงการฯ จนถึงวันที่ 30 กันยายน 2568"/>
    <n v="5"/>
    <s v="ตอบตรงคำถามของลูกค้าที่ต้องการทราบกำหนดการสิ้นสุดโครงการ โดยระบุวันที่สิ้นสุดการลงทะเบียนที่ถูกต้อง"/>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และมีข้อมูลที่ถูกต้องสำหรับคำตอบ"/>
    <s v="ผ่าน"/>
    <s v="ไม่มี"/>
  </r>
  <r>
    <x v="0"/>
    <s v="TC-095"/>
    <x v="3"/>
    <s v="ทดสอบขั้นตอนกรณี สินเชื่อที่มีผู้ค้ำประกันหรือผู้กู้ร่วม"/>
    <s v="&quot;กู้บ้านร่วมกับแฟน ถ้าจะเข้าโครงการ 'จ่ายตรง คงทรัพย์' แฟนต้องมาด้วยไหม&quot;"/>
    <s v="The customer is asking for information about the process for loans with a guarantor or co-borrower."/>
    <s v="สวัสดีค่ะ สำหรับกรณีสินเชื่อที่มีผู้ค้ำประกัน หากท่านเข้าร่วมมาตรการที่ 1 “จ่ายตรง คงทรัพย์” ผู้ค้ำประกันจะต้องให้ความยินยอมและลงนามในสัญญาค้ำประกันใหม่ค่ะ _x000a__x000a_สำหรับมาตรการอื่น ๆ ข้อมูลที่ปรากฏในโครงการไม่ได้ระบุขั้นตอนสำหรับผู้ค้ำประกันหรือผู้กู้ร่วมไว้ค่ะ หากท่านมีข้อสงสัยเพิ่มเติม สามารถติดต่อ Krungthai Contact Center 02 111 1111 กด 99 หรือ BOT Contact Center 1213 ได้โดยตรงนะคะ"/>
    <n v="5"/>
    <n v="1"/>
    <n v="5"/>
    <s v="บอทตอบถูกต้องตามเอกสาร โดยระบุเงื่อนไขของผู้ค้ำประกันในมาตรการที่ 1 และระบุว่ามาตรการอื่นไม่มีข้อมูล ซึ่งถูกต้องตาม Context"/>
    <n v="5"/>
    <s v="บอทตอบตรงประเด็นคำถามของลูกค้า และให้ข้อมูลที่ถูกต้องครบถ้วนตามที่ปรากฏในเอกสาร รวมถึงแนะนำช่องทางการติดต่อเพิ่มเติมเมื่อไม่มีข้อมูล"/>
    <n v="5"/>
    <s v="ภาษาที่ใช้เป็นธรรมชาติ สั้นกระชับ และจัดรูปแบบการตอบได้ดี ทำให้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ที่เกี่ยวข้องโดยตรงจาก Context มาใช้ตอบคำถามได้อย่างถูกต้องและครบถ้วน"/>
    <s v="ผ่าน"/>
    <s v="ไม่มี"/>
  </r>
  <r>
    <x v="0"/>
    <s v="TC-096"/>
    <x v="3"/>
    <s v="ทดสอบ ระยะเวลาดำเนินการ (Processing Time)"/>
    <s v="&quot;ยื่นเอกสารไปแล้ว ปกติต้องรอแบงก์พิจารณากี่วันถึงจะรู้ผล&quot;"/>
    <s v="The user is asking about the processing time for an unspecified action. Since this is a request for general information and not a personalized plan, it is being routed to the education agent to clarify and answer the question. This is the first turn."/>
    <s v="ขออภัยค่ะ ข้อมูลเกี่ยวกับระยะเวลาดำเนินการ (Processing Time) ไม่ได้ถูกระบุไว้ในรายละเอียดของโครงการค่ะ_x000a__x000a_หากท่านต้องการสอบถามข้อมูลเพิ่มเติม สามารถติดต่อได้ที่ Krungthai Contact Center 02 111 1111 กด 99 หรือ BOT Contact Center 1213 ค่ะ"/>
    <n v="5"/>
    <n v="1"/>
    <n v="5"/>
    <s v="บอทตอบถูกต้องว่าข้อมูลระยะเวลาดำเนินการไม่ได้ระบุไว้ในเอกสารที่ให้มา"/>
    <n v="5"/>
    <s v="บอทตอบตรงคำถามและให้ข้อมูลติดต่อเพิ่มเติมที่เกี่ยวข้องเมื่อไม่พบข้อมูลในเอกสาร"/>
    <n v="5"/>
    <s v="ภาษา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ประเมินได้ถูกต้องว่าข้อมูลที่ลูกค้าถามไม่อยู่ใน Context"/>
    <s v="ผ่าน"/>
    <s v="ไม่มีคำแนะนำเพิ่มเติม เนื่องจากบอทตอบได้ถูกต้องและเหมาะสมกับสถานการณ์ที่ข้อมูลไม่ปรากฏในเอกสาร"/>
  </r>
  <r>
    <x v="0"/>
    <s v="TC-097"/>
    <x v="3"/>
    <s v="ทดสอบขั้นตอน การจ่ายเงินเพื่อปิดหนี้เดิม"/>
    <s v="&quot;ถ้าสมัครโครงการผ่านแล้ว เงินกู้ที่ได้จะโอนเข้าบัญชีผมให้ไปปิดหนี้เองใช่ไหม&quot;"/>
    <s v="The user wants to test or understand the process of paying off an existing debt. This is a request for information, so it is being routed to the education agent."/>
    <s v="สวัสดีค่ะ สำหรับขั้นตอนการชำระเงินเพื่อปิดหนี้ภายใต้โครงการ “คุณสู้ เราช่วย” จะขึ้นอยู่กับมาตรการที่ท่านเข้าร่วม ดังนี้ค่ะ_x000a__x000a_*   **มาตรการที่ 1 (จ่ายตรง คงทรัพย์):** ท่านสามารถชำระมากกว่าค่างวดขั้นต่ำที่กำหนด เพื่อตัดเงินต้นเพิ่มและปิดจบหนี้ได้ไวขึ้นค่ะ _x000a_*   **มาตรการที่ 2 (จ่าย ปิด จบ):** ท่านสามารถชำระหนี้บางส่วนเพื่อให้สามารถจ่ายและปิดจบหนี้ได้เร็วขึ้นค่ะ _x000a_*   **มาตรการที่ 3 (จ่าย ตัด ต้น):** ท่านสามารถตกลงกับเจ้าหนี้ในการชำระค่างวดมากกว่าที่กำหนดได้ เพื่อตัดเงินต้นเพิ่มและปิดจบหนี้ได้เร็วขึ้นค่ะ _x000a__x000a_ทั้งนี้ มาตรการของผู้ให้บริการแต่ละแห่งมีเงื่อนไขที่แตกต่างกัน โปรดศึกษารายละเอียดและเงื่อนไขก่อนลงทะเบียนนะคะ หากต้องการสอบถามข้อมูลเพิ่มเติม สามารถติดต่อ Krungthai Contact Center 02 111 1111 กด 99 หรือ BOT Contact Center 1213 ได้ค่ะ "/>
    <n v="3"/>
    <n v="1"/>
    <n v="5"/>
    <s v="ข้อมูลที่บอทให้เกี่ยวกับวิธีการชำระหนี้เพื่อปิดจบหนี้ในแต่ละมาตรการ (จ่ายตรง คงทรัพย์, จ่าย ปิด จบ, จ่าย ตัด ต้น) ถูกต้อง 100% ตามเอกสารอ้างอิง รวมถึงคำเตือนให้ศึกษาเงื่อนไขเพิ่มเติม"/>
    <n v="3"/>
    <s v="บอทตอบตรงประเด็นในแง่ของการให้ข้อมูลเกี่ยวกับวิธีการปิดหนี้ในแต่ละมาตรการของโครงการ &quot;คุณสู้ เราช่วย&quot; ซึ่งเป็นการกางเงื่อนไขที่ถูกต้องเพื่อให้ลูกค้าพิจารณาตนเอง แม้ว่าคำถามอาจจะตีความได้กว้างกว่านั้น (เช่น การปิดหนี้ด้วยเงินกู้ใหม่) แต่การตอบแบบมีเงื่อนไขนี้ถือว่ายอมรับได้และช่วยลดความเสี่ยง"/>
    <n v="5"/>
    <s v="ภาษาที่ใช้เป็นธรรมชาติ สั้นกระชับ และจัดรูปแบบด้วย bullet points ทำให้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Context ที่ดึงมาเกี่ยวข้องโดยตรงกับโครงการ &quot;คุณสู้ เราช่วย&quot; และมาตรการทั้ง 3 ที่บอทอ้างถึง"/>
    <s v="ผ่าน"/>
    <s v="ไม่มีคำแนะนำเพิ่มเติม เนื่องจากบอทตอบได้ถูกต้องและปลอดภัยตามหลักการ &quot;Safety Over Rejection&quot; โดยการกางเงื่อนไขที่ถูกต้องให้ลูกค้าพิจารณา"/>
  </r>
  <r>
    <x v="0"/>
    <s v="TC-098"/>
    <x v="3"/>
    <s v="ทดสอบความจำเป็นของ เอกสารประกอบการสมัคร"/>
    <s v="&quot;จะสมัครโครงการคุณสู้ ต้องขอรายงานเครดิตบูโร (NCB) ไปด้วยไหม&quot;"/>
    <s v="The user is asking about the necessity of application documents. This is a request for information. Routing to the education agent."/>
    <s v="ขออภัยค่ะ ข้อมูลเรื่องเอกสารประกอบการสมัครไม่ได้ระบุไว้ในรายละเอียดโครงการค่ะ เนื่องจากมาตรการของผู้ให้บริการแต่ละแห่งมีเงื่อนไขที่แตกต่างกัน แนะนำให้ท่านศึกษารายละเอียดเพิ่มเติมจากผู้ให้บริการโดยตรง หรือติดต่อสอบถามได้ที่ Krungthai Contact Center 02 111 1111 กด 99 หรือ BOT Contact Center 1213 ค่ะ "/>
    <n v="3"/>
    <n v="1"/>
    <n v="5"/>
    <s v="บอทตอบถูกต้องตามข้อมูลอ้างอิงที่ระบุว่า &quot;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quot; และไม่ได้ระบุเอกสารประกอบการสมัครไว้"/>
    <n v="3"/>
    <s v="บอทตอบตรงประเด็นโดยแจ้งว่าข้อมูลที่ถามไม่มีในเอกสาร และแนะนำช่องทางติดต่อเพิ่มเติม ซึ่งเป็นการตอบที่ยอมรับได้เมื่อข้อมูลไม่ครบถ้วน"/>
    <n v="5"/>
    <s v="ภาษาที่ใช้เป็นธรรมชาติ สั้นกระชับ และเข้าใจง่าย"/>
    <s v="[file_name: khunsoo-v3p0.txt | lines: 1-6]_x000a_โครงการ “คุณสู้ เราช่วย”_x000a_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_x000a__x000a_*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_x000a__x000a_มาตรการสำหรับลูกหนี้ธนาคารพาณิชย์ สถาบันการเงินเฉพาะกิจ (SFIs) และ Non-bank ที่เป็นบริษัทในกลุ่มของธนาคารพาณิชย์_x000a__x000a_---_x000a__x000a_[file_name: khunsoo-v3p0.txt | lines: 79-96]_x000a_มาตรการที่ 3 “จ่าย ตัด ต้น”_x000a_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_x000a__x000a_รูปแบบการให้ความช่วยเหลือ_x000a_ปรับโครงสร้างหนี้ให้ผ่อนชำระคืนเป็นงวด (term loan)_x000a_ผ่อนชำระ 2% ของเงินต้นคงค้างก่อนเข้ามาตรการ_x000a_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_x000a_ลูกหนี้สามารถตกลงกับเจ้าหนี้ในการชำระค่างวดมากกว่าที่กำหนดได้ เพื่อตัดเงินต้นเพิ่มและปิดจบหนี้ได้เร็วขึ้น_x000a_คุณสมบัติลูกหนี้ที่สามารถเข้าร่วมมาตรการได้_x000a_ลูกหนี้บุคคลธรรมดาหรือนิติบุคคลที่มีสถานะเป็นหนี้เสีย (NPL) ณ วันที่ 31 ตุลาคม 2567_x000a_สินเชื่อไม่มีหลักประกัน (เช่น บัตรเครดิต สินเชื่อส่วนบุคคล) ยอดหนี้ ไม่เกิน 50,000 บาทต่อบัญชี_x000a_สัญญาสินเชื่อทำก่อนวันที่ 1 มกราคม 2567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_x000a__x000a_(2) จะถูกรายงานข้อมูลใน NCB ว่าเข้าร่วมมาตรการ_x000a__x000a_(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_x000a__x000a_[file_name: khunsoo-v3p0.txt | lines: 55-75]_x000a_มาตรการที่ 2 “จ่าย ปิด จบ” _x000a_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_x000a__x000a_รูปแบบการให้ความช่วยเหลือ_x000a_ลูกหนี้สามารถชำระหนี้บางส่วน เพื่อให้สามารถจ่าย และปิดจบหนี้ได้เร็วขึ้น_x000a__x000a_คุณสมบัติลูกหนี้ที่สามารถเข้าร่วมมาตรการได้_x000a_(1) ลูกหนี้บุคคลธรรมดาทุกประเภท ที่มีสถานะหนี้ ณ วันที่ 31 ตุลาคม 2567 ค้างชำระเกินกว่า 90 วัน (NPL) _x000a__x000a_(2) มีภาระหนี้ ดังนี้_x000a__x000a_- ทุกประเภทสินเชื่อ ที่มีภาระหนี้ไม่เกิน 5,000 บาทต่อบัญชี_x000a__x000a_- สินเชื่อที่ไม่มีหลักประกัน ที่มีภาระหนี้ไม่เกิน 10,000 บาทต่อบัญชี_x000a__x000a_- สินเชื่อที่มีหลักประกัน* ที่มีภาระหนี้ไม่เกิน 30,000 บาทต่อบัญชี และมีวงเงินสินเชื่อต่อบัญชีดังนี้_x000a_  &gt; บ้าน/บ้านแลกเงิน/ SMEs บุคคลธรรมดา วงเงินไม่เกิน 5 ล้านบาท_x000a_  &gt; เช่าซื้อ/จำนำทะเบียนรถยนต์ วงเงินไม่เกิน 8 แสนบาท_x000a_  &gt; เช่าซื้อ/จำนำทะเบียนรถจักรยานยนต์ วงเงินไม่เกิน 5 หมื่นบาท_x000a__x000a_* ซึ่งบังคับหลักประกันแล้วและไม่สามารถติดตามทรัพย์ได้_x000a__x000a_---_x000a__x000a_[file_name: khunsoo-v3p0.txt | lines: 10-51]_x000a_มาตรการที่ 1 “จ่ายตรง คงทรัพย์” _x000a_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_x000a__x000a_รูปแบบการให้ความช่วยเหลือ_x000a_(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_x000a__x000a_(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_x000a__x000a_ทั้งนี้ ลูกหนี้สามารถชำระมากกว่าค่างวดขั้นต่ำที่กำหนด เพื่อตัดเงินต้นเพิ่มและปิดจบหนี้ได้ไวขึ้น_x000a__x000a_คุณสมบัติลูกหนี้ที่สามารถเข้าร่วมมาตรการได้_x000a_(1) มีวงเงินสินเชื่อรวมต่อสถาบันการเงินไม่เกินที่กำหนด โดยพิจารณาแยกวงเงินในสัญญา (ต่อสถาบันการเงิน) ตามประเภทสินเชื่อ ดังนี้_x000a__x000a_o สินเชื่อบ้าน / บ้านแลกเงิน (Home for cash) วงเงินรวมไม่เกิน 5 ล้านบาท_x000a__x000a_o สินเชื่อเช่าซื้อ / จำนำทะเบียนรถยนต์ วงเงินรวมไม่เกิน 8 แสนบาท_x000a__x000a_o สินเชื่อเช่าซื้อ / จำนำทะเบียนรถจักรยานยนต์ วงเงินรวมไม่เกิน 5 หมื่นบาท_x000a__x000a_o สินเชื่อธุรกิจ SMEs วงเงินรวมไม่เกิน 5 ล้านบาท_x000a__x000a_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_x000a__x000a_(2) เป็นสินเชื่อที่ทำสัญญาก่อนวันที่ 1 มกราคม 2567_x000a__x000a_(3) มีสถานะหนี้ ณ วันที่ 31 ต.ค. 67  อย่างใดอย่างหนึ่งต่อไปนี้_x000a__x000a_(3.1) ค้างชำระมากกว่า 30 วัน  นับจากวันครบกำหนดชำระ_x000a__x000a_หรือ_x000a_(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_x000a__x000a_*สำหรับลูกหนี้ที่เคยมีประวัติค้างไม่เกิน 30 วัน ให้ดูวันค้างตั้งแต่ 1 ม.ค. 65_x000a__x000a_เงื่อนไขของการเข้าร่วมมาตรการ_x000a_(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_x000a__x000a_(2) จะถูกรายงานข้อมูลใน NCB ว่าเข้าร่วมมาตรการ _x000a__x000a_(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_x000a__x000a_(4) หากสัญญาสินเชื่อมีผู้ค้ำประกัน ผู้ค้ำประกันต้องให้ความยินยอมและลงนามในสัญญาค้ำประกันใหม่"/>
    <n v="5"/>
    <s v="บอทดึงข้อมูลที่เกี่ยวข้องมาใช้ในการตอบได้อย่างถูกต้อง โดยเฉพาะประเด็นที่ว่าข้อมูลเอกสารประกอบการสมัครไม่ได้ระบุไว้ในรายละเอียดโครงการ"/>
    <s v="ผ่าน"/>
    <s v="ไม่มีคำแนะนำเพิ่มเติม เนื่องจากบอทจัดการกับสถานการณ์ที่ข้อมูลไม่ครบถ้วนได้อย่างเหมาะสม"/>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5" firstHeaderRow="0" firstDataRow="1" firstDataCol="1"/>
  <pivotFields count="20">
    <pivotField axis="axisRow" showAll="0">
      <items count="3">
        <item x="0"/>
        <item x="1"/>
        <item t="default"/>
      </items>
    </pivotField>
    <pivotField dataField="1" showAll="0"/>
    <pivotField axis="axisRow" showAll="0">
      <items count="10">
        <item x="4"/>
        <item x="1"/>
        <item x="2"/>
        <item x="5"/>
        <item x="7"/>
        <item x="0"/>
        <item x="8"/>
        <item x="3"/>
        <item x="6"/>
        <item t="default"/>
      </items>
    </pivotField>
    <pivotField showAll="0"/>
    <pivotField showAll="0"/>
    <pivotField showAll="0"/>
    <pivotField showAll="0"/>
    <pivotField dataField="1" showAll="0"/>
    <pivotField dataField="1" showAll="0"/>
    <pivotField dataField="1" showAll="0"/>
    <pivotField showAll="0"/>
    <pivotField dataField="1" showAll="0"/>
    <pivotField showAll="0"/>
    <pivotField dataField="1" showAll="0"/>
    <pivotField showAll="0"/>
    <pivotField showAll="0"/>
    <pivotField showAll="0"/>
    <pivotField showAll="0"/>
    <pivotField showAll="0"/>
    <pivotField showAll="0"/>
  </pivotFields>
  <rowFields count="2">
    <field x="0"/>
    <field x="2"/>
  </rowFields>
  <rowItems count="12">
    <i>
      <x/>
    </i>
    <i r="1">
      <x v="1"/>
    </i>
    <i r="1">
      <x v="2"/>
    </i>
    <i r="1">
      <x v="4"/>
    </i>
    <i r="1">
      <x v="5"/>
    </i>
    <i r="1">
      <x v="6"/>
    </i>
    <i r="1">
      <x v="7"/>
    </i>
    <i>
      <x v="1"/>
    </i>
    <i r="1">
      <x/>
    </i>
    <i r="1">
      <x v="3"/>
    </i>
    <i r="1">
      <x v="8"/>
    </i>
    <i t="grand">
      <x/>
    </i>
  </rowItems>
  <colFields count="1">
    <field x="-2"/>
  </colFields>
  <colItems count="6">
    <i>
      <x/>
    </i>
    <i i="1">
      <x v="1"/>
    </i>
    <i i="2">
      <x v="2"/>
    </i>
    <i i="3">
      <x v="3"/>
    </i>
    <i i="4">
      <x v="4"/>
    </i>
    <i i="5">
      <x v="5"/>
    </i>
  </colItems>
  <dataFields count="6">
    <dataField name="No. Case" fld="1" subtotal="count" baseField="0" baseItem="0"/>
    <dataField name="Avg. Overall Score" fld="7" subtotal="average" baseField="0" baseItem="0" numFmtId="164"/>
    <dataField name="Pass Rate" fld="8" subtotal="average" baseField="0" baseItem="0" numFmtId="9"/>
    <dataField name="Faithfulness" fld="9" subtotal="average" baseField="0" baseItem="0" numFmtId="164"/>
    <dataField name="Relevance" fld="11" subtotal="average" baseField="0" baseItem="0" numFmtId="164"/>
    <dataField name="Simplicity" fld="13" subtotal="average" baseField="0" baseItem="0" numFmtId="164"/>
  </dataFields>
  <formats count="27">
    <format dxfId="26">
      <pivotArea outline="0" collapsedLevelsAreSubtotals="1" fieldPosition="0">
        <references count="1">
          <reference field="4294967294" count="2" selected="0">
            <x v="1"/>
            <x v="2"/>
          </reference>
        </references>
      </pivotArea>
    </format>
    <format dxfId="25">
      <pivotArea outline="0" collapsedLevelsAreSubtotals="1" fieldPosition="0">
        <references count="1">
          <reference field="4294967294" count="2" selected="0">
            <x v="1"/>
            <x v="2"/>
          </reference>
        </references>
      </pivotArea>
    </format>
    <format dxfId="24">
      <pivotArea outline="0" collapsedLevelsAreSubtotals="1" fieldPosition="0">
        <references count="1">
          <reference field="4294967294" count="2" selected="0">
            <x v="1"/>
            <x v="2"/>
          </reference>
        </references>
      </pivotArea>
    </format>
    <format dxfId="23">
      <pivotArea outline="0" collapsedLevelsAreSubtotals="1" fieldPosition="0">
        <references count="1">
          <reference field="4294967294" count="2" selected="0">
            <x v="1"/>
            <x v="2"/>
          </reference>
        </references>
      </pivotArea>
    </format>
    <format dxfId="22">
      <pivotArea outline="0" collapsedLevelsAreSubtotals="1" fieldPosition="0">
        <references count="1">
          <reference field="4294967294" count="2" selected="0">
            <x v="1"/>
            <x v="2"/>
          </reference>
        </references>
      </pivotArea>
    </format>
    <format dxfId="21">
      <pivotArea outline="0" collapsedLevelsAreSubtotals="1" fieldPosition="0">
        <references count="1">
          <reference field="4294967294" count="2" selected="0">
            <x v="1"/>
            <x v="2"/>
          </reference>
        </references>
      </pivotArea>
    </format>
    <format dxfId="20">
      <pivotArea outline="0" collapsedLevelsAreSubtotals="1" fieldPosition="0">
        <references count="1">
          <reference field="4294967294" count="2" selected="0">
            <x v="1"/>
            <x v="2"/>
          </reference>
        </references>
      </pivotArea>
    </format>
    <format dxfId="19">
      <pivotArea outline="0" collapsedLevelsAreSubtotals="1" fieldPosition="0">
        <references count="1">
          <reference field="4294967294" count="2" selected="0">
            <x v="1"/>
            <x v="2"/>
          </reference>
        </references>
      </pivotArea>
    </format>
    <format dxfId="18">
      <pivotArea outline="0" collapsedLevelsAreSubtotals="1" fieldPosition="0">
        <references count="1">
          <reference field="4294967294" count="2" selected="0">
            <x v="1"/>
            <x v="2"/>
          </reference>
        </references>
      </pivotArea>
    </format>
    <format dxfId="17">
      <pivotArea outline="0" collapsedLevelsAreSubtotals="1" fieldPosition="0">
        <references count="1">
          <reference field="4294967294" count="2" selected="0">
            <x v="1"/>
            <x v="2"/>
          </reference>
        </references>
      </pivotArea>
    </format>
    <format dxfId="16">
      <pivotArea outline="0" collapsedLevelsAreSubtotals="1" fieldPosition="0">
        <references count="1">
          <reference field="4294967294" count="2" selected="0">
            <x v="1"/>
            <x v="2"/>
          </reference>
        </references>
      </pivotArea>
    </format>
    <format dxfId="15">
      <pivotArea outline="0" collapsedLevelsAreSubtotals="1" fieldPosition="0">
        <references count="1">
          <reference field="4294967294" count="2" selected="0">
            <x v="1"/>
            <x v="2"/>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format>
    <format dxfId="12">
      <pivotArea dataOnly="0" labelOnly="1" outline="0" fieldPosition="0">
        <references count="1">
          <reference field="4294967294" count="3">
            <x v="0"/>
            <x v="1"/>
            <x v="2"/>
          </reference>
        </references>
      </pivotArea>
    </format>
    <format dxfId="11">
      <pivotArea outline="0" collapsedLevelsAreSubtotals="1" fieldPosition="0">
        <references count="1">
          <reference field="4294967294" count="3" selected="0">
            <x v="3"/>
            <x v="4"/>
            <x v="5"/>
          </reference>
        </references>
      </pivotArea>
    </format>
    <format dxfId="10">
      <pivotArea outline="0" collapsedLevelsAreSubtotals="1" fieldPosition="0">
        <references count="1">
          <reference field="4294967294" count="3" selected="0">
            <x v="3"/>
            <x v="4"/>
            <x v="5"/>
          </reference>
        </references>
      </pivotArea>
    </format>
    <format dxfId="9">
      <pivotArea outline="0" collapsedLevelsAreSubtotals="1" fieldPosition="0">
        <references count="1">
          <reference field="4294967294" count="3" selected="0">
            <x v="3"/>
            <x v="4"/>
            <x v="5"/>
          </reference>
        </references>
      </pivotArea>
    </format>
    <format dxfId="8">
      <pivotArea outline="0" collapsedLevelsAreSubtotals="1" fieldPosition="0">
        <references count="1">
          <reference field="4294967294" count="3" selected="0">
            <x v="3"/>
            <x v="4"/>
            <x v="5"/>
          </reference>
        </references>
      </pivotArea>
    </format>
    <format dxfId="7">
      <pivotArea outline="0" collapsedLevelsAreSubtotals="1" fieldPosition="0">
        <references count="1">
          <reference field="4294967294" count="3" selected="0">
            <x v="3"/>
            <x v="4"/>
            <x v="5"/>
          </reference>
        </references>
      </pivotArea>
    </format>
    <format dxfId="6">
      <pivotArea outline="0" collapsedLevelsAreSubtotals="1" fieldPosition="0">
        <references count="1">
          <reference field="4294967294" count="3" selected="0">
            <x v="3"/>
            <x v="4"/>
            <x v="5"/>
          </reference>
        </references>
      </pivotArea>
    </format>
    <format dxfId="5">
      <pivotArea outline="0" collapsedLevelsAreSubtotals="1" fieldPosition="0">
        <references count="1">
          <reference field="4294967294" count="3" selected="0">
            <x v="3"/>
            <x v="4"/>
            <x v="5"/>
          </reference>
        </references>
      </pivotArea>
    </format>
    <format dxfId="4">
      <pivotArea outline="0" collapsedLevelsAreSubtotals="1" fieldPosition="0">
        <references count="1">
          <reference field="4294967294" count="3" selected="0">
            <x v="3"/>
            <x v="4"/>
            <x v="5"/>
          </reference>
        </references>
      </pivotArea>
    </format>
    <format dxfId="3">
      <pivotArea outline="0" collapsedLevelsAreSubtotals="1" fieldPosition="0">
        <references count="1">
          <reference field="4294967294" count="3" selected="0">
            <x v="3"/>
            <x v="4"/>
            <x v="5"/>
          </reference>
        </references>
      </pivotArea>
    </format>
    <format dxfId="2">
      <pivotArea outline="0" collapsedLevelsAreSubtotals="1" fieldPosition="0">
        <references count="1">
          <reference field="4294967294" count="3" selected="0">
            <x v="3"/>
            <x v="4"/>
            <x v="5"/>
          </reference>
        </references>
      </pivotArea>
    </format>
    <format dxfId="1">
      <pivotArea outline="0" collapsedLevelsAreSubtotals="1" fieldPosition="0">
        <references count="1">
          <reference field="4294967294" count="3" selected="0">
            <x v="3"/>
            <x v="4"/>
            <x v="5"/>
          </reference>
        </references>
      </pivotArea>
    </format>
    <format dxfId="0">
      <pivotArea dataOnly="0" labelOnly="1" outline="0" fieldPosition="0">
        <references count="1">
          <reference field="4294967294" count="3">
            <x v="3"/>
            <x v="4"/>
            <x v="5"/>
          </reference>
        </references>
      </pivotArea>
    </format>
  </formats>
  <conditionalFormats count="2">
    <conditionalFormat priority="2">
      <pivotAreas count="8">
        <pivotArea type="data" collapsedLevelsAreSubtotals="1" fieldPosition="0">
          <references count="3">
            <reference field="4294967294" count="1" selected="0">
              <x v="1"/>
            </reference>
            <reference field="0" count="1" selected="0">
              <x v="0"/>
            </reference>
            <reference field="2" count="6">
              <x v="1"/>
              <x v="2"/>
              <x v="4"/>
              <x v="5"/>
              <x v="6"/>
              <x v="7"/>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2" count="3">
              <x v="0"/>
              <x v="3"/>
              <x v="8"/>
            </reference>
          </references>
        </pivotArea>
        <pivotArea type="data" collapsedLevelsAreSubtotals="1" fieldPosition="0">
          <references count="2">
            <reference field="4294967294" count="3" selected="0">
              <x v="3"/>
              <x v="4"/>
              <x v="5"/>
            </reference>
            <reference field="0" count="1">
              <x v="0"/>
            </reference>
          </references>
        </pivotArea>
        <pivotArea type="data" collapsedLevelsAreSubtotals="1" fieldPosition="0">
          <references count="3">
            <reference field="4294967294" count="3" selected="0">
              <x v="3"/>
              <x v="4"/>
              <x v="5"/>
            </reference>
            <reference field="0" count="1" selected="0">
              <x v="0"/>
            </reference>
            <reference field="2" count="6">
              <x v="1"/>
              <x v="2"/>
              <x v="4"/>
              <x v="5"/>
              <x v="6"/>
              <x v="7"/>
            </reference>
          </references>
        </pivotArea>
        <pivotArea type="data" collapsedLevelsAreSubtotals="1" fieldPosition="0">
          <references count="2">
            <reference field="4294967294" count="3" selected="0">
              <x v="3"/>
              <x v="4"/>
              <x v="5"/>
            </reference>
            <reference field="0" count="1">
              <x v="1"/>
            </reference>
          </references>
        </pivotArea>
        <pivotArea type="data" collapsedLevelsAreSubtotals="1" fieldPosition="0">
          <references count="3">
            <reference field="4294967294" count="3" selected="0">
              <x v="3"/>
              <x v="4"/>
              <x v="5"/>
            </reference>
            <reference field="0" count="1" selected="0">
              <x v="1"/>
            </reference>
            <reference field="2" count="3">
              <x v="0"/>
              <x v="3"/>
              <x v="8"/>
            </reference>
          </references>
        </pivotArea>
      </pivotAreas>
    </conditionalFormat>
    <conditionalFormat priority="1">
      <pivotAreas count="4">
        <pivotArea type="data" collapsedLevelsAreSubtotals="1" fieldPosition="0">
          <references count="3">
            <reference field="4294967294" count="1" selected="0">
              <x v="2"/>
            </reference>
            <reference field="0" count="1" selected="0">
              <x v="0"/>
            </reference>
            <reference field="2" count="6">
              <x v="1"/>
              <x v="2"/>
              <x v="4"/>
              <x v="5"/>
              <x v="6"/>
              <x v="7"/>
            </reference>
          </references>
        </pivotArea>
        <pivotArea type="data" collapsedLevelsAreSubtotals="1" fieldPosition="0">
          <references count="2">
            <reference field="4294967294" count="1" selected="0">
              <x v="2"/>
            </reference>
            <reference field="0" count="1">
              <x v="0"/>
            </reference>
          </references>
        </pivotArea>
        <pivotArea type="data" collapsedLevelsAreSubtotals="1" fieldPosition="0">
          <references count="2">
            <reference field="4294967294" count="1" selected="0">
              <x v="2"/>
            </reference>
            <reference field="0" count="1">
              <x v="1"/>
            </reference>
          </references>
        </pivotArea>
        <pivotArea type="data" collapsedLevelsAreSubtotals="1" fieldPosition="0">
          <references count="3">
            <reference field="4294967294" count="1" selected="0">
              <x v="2"/>
            </reference>
            <reference field="0" count="1" selected="0">
              <x v="1"/>
            </reference>
            <reference field="2" count="3">
              <x v="0"/>
              <x v="3"/>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60"/>
  <sheetViews>
    <sheetView tabSelected="1" zoomScaleNormal="70" workbookViewId="0">
      <pane xSplit="3" ySplit="1" topLeftCell="D2" activePane="bottomRight" state="frozen"/>
      <selection pane="topRight" activeCell="D1" sqref="D1"/>
      <selection pane="bottomLeft" activeCell="A2" sqref="A2"/>
      <selection pane="bottomRight" activeCell="K94" sqref="K94"/>
    </sheetView>
  </sheetViews>
  <sheetFormatPr baseColWidth="10" defaultColWidth="12.6640625" defaultRowHeight="15.75" customHeight="1"/>
  <cols>
    <col min="2" max="2" width="14" customWidth="1"/>
    <col min="3" max="3" width="17.1640625" customWidth="1"/>
    <col min="4" max="4" width="47" customWidth="1"/>
    <col min="5" max="5" width="44.6640625" customWidth="1"/>
    <col min="6" max="6" width="42.33203125" customWidth="1"/>
    <col min="7" max="7" width="51.33203125" style="44" customWidth="1"/>
    <col min="9" max="9" width="12.6640625" customWidth="1"/>
  </cols>
  <sheetData>
    <row r="1" spans="1:28" s="39" customFormat="1" ht="13">
      <c r="A1" s="37" t="s">
        <v>0</v>
      </c>
      <c r="B1" s="37" t="s">
        <v>1</v>
      </c>
      <c r="C1" s="37" t="s">
        <v>2</v>
      </c>
      <c r="D1" s="37" t="s">
        <v>3</v>
      </c>
      <c r="E1" s="37" t="s">
        <v>4</v>
      </c>
      <c r="F1" s="37" t="s">
        <v>5</v>
      </c>
      <c r="G1" s="42" t="s">
        <v>6</v>
      </c>
      <c r="H1" s="37" t="s">
        <v>7</v>
      </c>
      <c r="I1" s="37" t="s">
        <v>8</v>
      </c>
      <c r="J1" s="38" t="s">
        <v>9</v>
      </c>
      <c r="K1" s="38" t="s">
        <v>10</v>
      </c>
      <c r="L1" s="38" t="s">
        <v>11</v>
      </c>
      <c r="M1" s="38" t="s">
        <v>12</v>
      </c>
      <c r="N1" s="38" t="s">
        <v>13</v>
      </c>
      <c r="O1" s="38" t="s">
        <v>14</v>
      </c>
      <c r="P1" s="38" t="s">
        <v>15</v>
      </c>
      <c r="Q1" s="38" t="s">
        <v>16</v>
      </c>
      <c r="R1" s="38" t="s">
        <v>17</v>
      </c>
      <c r="S1" s="38" t="s">
        <v>18</v>
      </c>
      <c r="T1" s="38" t="s">
        <v>19</v>
      </c>
      <c r="U1" s="37"/>
      <c r="V1" s="37"/>
      <c r="W1" s="37"/>
      <c r="X1" s="37"/>
      <c r="Y1" s="37"/>
      <c r="Z1" s="37"/>
      <c r="AA1" s="37"/>
      <c r="AB1" s="37"/>
    </row>
    <row r="2" spans="1:28" ht="35.25" customHeight="1">
      <c r="A2" s="2" t="s">
        <v>20</v>
      </c>
      <c r="B2" s="2" t="s">
        <v>21</v>
      </c>
      <c r="C2" s="2" t="s">
        <v>22</v>
      </c>
      <c r="D2" s="3" t="s">
        <v>23</v>
      </c>
      <c r="E2" s="3" t="s">
        <v>24</v>
      </c>
      <c r="F2" s="3" t="s">
        <v>25</v>
      </c>
      <c r="G2" s="41" t="s">
        <v>26</v>
      </c>
      <c r="H2" s="2">
        <v>5</v>
      </c>
      <c r="I2" s="2">
        <v>1</v>
      </c>
      <c r="J2" s="1">
        <v>5</v>
      </c>
      <c r="K2" s="1" t="s">
        <v>27</v>
      </c>
      <c r="L2" s="1">
        <v>5</v>
      </c>
      <c r="M2" s="1" t="s">
        <v>28</v>
      </c>
      <c r="N2" s="1">
        <v>5</v>
      </c>
      <c r="O2" s="1" t="s">
        <v>29</v>
      </c>
      <c r="P2" s="1" t="s">
        <v>30</v>
      </c>
      <c r="Q2" s="1">
        <v>5</v>
      </c>
      <c r="R2" s="1" t="s">
        <v>31</v>
      </c>
      <c r="S2" s="1" t="s">
        <v>32</v>
      </c>
      <c r="T2" s="1" t="s">
        <v>33</v>
      </c>
      <c r="U2" s="2"/>
      <c r="V2" s="2"/>
      <c r="W2" s="2"/>
      <c r="X2" s="2"/>
      <c r="Y2" s="2"/>
      <c r="Z2" s="2"/>
      <c r="AA2" s="2"/>
      <c r="AB2" s="2"/>
    </row>
    <row r="3" spans="1:28" ht="35.25" customHeight="1">
      <c r="A3" s="2" t="s">
        <v>20</v>
      </c>
      <c r="B3" s="2" t="s">
        <v>34</v>
      </c>
      <c r="C3" s="2" t="s">
        <v>22</v>
      </c>
      <c r="D3" s="3" t="s">
        <v>35</v>
      </c>
      <c r="E3" s="3" t="s">
        <v>36</v>
      </c>
      <c r="F3" s="3" t="s">
        <v>37</v>
      </c>
      <c r="G3" s="41" t="s">
        <v>38</v>
      </c>
      <c r="H3" s="2">
        <v>5</v>
      </c>
      <c r="I3" s="2">
        <v>1</v>
      </c>
      <c r="J3" s="1">
        <v>5</v>
      </c>
      <c r="K3" s="1" t="s">
        <v>39</v>
      </c>
      <c r="L3" s="1">
        <v>5</v>
      </c>
      <c r="M3" s="1" t="s">
        <v>40</v>
      </c>
      <c r="N3" s="1">
        <v>5</v>
      </c>
      <c r="O3" s="1" t="s">
        <v>41</v>
      </c>
      <c r="P3" s="1" t="s">
        <v>30</v>
      </c>
      <c r="Q3" s="1">
        <v>5</v>
      </c>
      <c r="R3" s="1" t="s">
        <v>42</v>
      </c>
      <c r="S3" s="1" t="s">
        <v>32</v>
      </c>
      <c r="T3" s="1" t="s">
        <v>43</v>
      </c>
      <c r="U3" s="2"/>
      <c r="V3" s="2"/>
      <c r="W3" s="2"/>
      <c r="X3" s="2"/>
      <c r="Y3" s="2"/>
      <c r="Z3" s="2"/>
      <c r="AA3" s="2"/>
      <c r="AB3" s="2"/>
    </row>
    <row r="4" spans="1:28" ht="35.25" customHeight="1">
      <c r="A4" s="2" t="s">
        <v>20</v>
      </c>
      <c r="B4" s="2" t="s">
        <v>44</v>
      </c>
      <c r="C4" s="2" t="s">
        <v>22</v>
      </c>
      <c r="D4" s="3" t="s">
        <v>45</v>
      </c>
      <c r="E4" s="3" t="s">
        <v>46</v>
      </c>
      <c r="F4" s="3" t="s">
        <v>47</v>
      </c>
      <c r="G4" s="41" t="s">
        <v>48</v>
      </c>
      <c r="H4" s="2">
        <v>3</v>
      </c>
      <c r="I4" s="2">
        <v>1</v>
      </c>
      <c r="J4" s="1">
        <v>3</v>
      </c>
      <c r="K4" s="1" t="s">
        <v>49</v>
      </c>
      <c r="L4" s="1">
        <v>3</v>
      </c>
      <c r="M4" s="1" t="s">
        <v>50</v>
      </c>
      <c r="N4" s="1">
        <v>5</v>
      </c>
      <c r="O4" s="1" t="s">
        <v>51</v>
      </c>
      <c r="P4" s="1" t="s">
        <v>52</v>
      </c>
      <c r="Q4" s="1">
        <v>5</v>
      </c>
      <c r="R4" s="1" t="s">
        <v>53</v>
      </c>
      <c r="S4" s="1" t="s">
        <v>32</v>
      </c>
      <c r="T4" s="1" t="s">
        <v>54</v>
      </c>
      <c r="U4" s="2"/>
      <c r="V4" s="2"/>
      <c r="W4" s="2"/>
      <c r="X4" s="2"/>
      <c r="Y4" s="2"/>
      <c r="Z4" s="2"/>
      <c r="AA4" s="2"/>
      <c r="AB4" s="2"/>
    </row>
    <row r="5" spans="1:28" ht="35.25" customHeight="1">
      <c r="A5" s="2" t="s">
        <v>20</v>
      </c>
      <c r="B5" s="2" t="s">
        <v>55</v>
      </c>
      <c r="C5" s="2" t="s">
        <v>22</v>
      </c>
      <c r="D5" s="3" t="s">
        <v>56</v>
      </c>
      <c r="E5" s="3" t="s">
        <v>57</v>
      </c>
      <c r="F5" s="3" t="s">
        <v>58</v>
      </c>
      <c r="G5" s="41" t="s">
        <v>59</v>
      </c>
      <c r="H5" s="2">
        <v>5</v>
      </c>
      <c r="I5" s="2">
        <v>1</v>
      </c>
      <c r="J5" s="1">
        <v>5</v>
      </c>
      <c r="K5" s="1" t="s">
        <v>60</v>
      </c>
      <c r="L5" s="1">
        <v>5</v>
      </c>
      <c r="M5" s="1" t="s">
        <v>61</v>
      </c>
      <c r="N5" s="1">
        <v>5</v>
      </c>
      <c r="O5" s="1" t="s">
        <v>62</v>
      </c>
      <c r="P5" s="1" t="s">
        <v>52</v>
      </c>
      <c r="Q5" s="1">
        <v>5</v>
      </c>
      <c r="R5" s="1" t="s">
        <v>63</v>
      </c>
      <c r="S5" s="1" t="s">
        <v>32</v>
      </c>
      <c r="T5" s="1" t="s">
        <v>64</v>
      </c>
      <c r="U5" s="2"/>
      <c r="V5" s="2"/>
      <c r="W5" s="2"/>
      <c r="X5" s="2"/>
      <c r="Y5" s="2"/>
      <c r="Z5" s="2"/>
      <c r="AA5" s="2"/>
      <c r="AB5" s="2"/>
    </row>
    <row r="6" spans="1:28" ht="35.25" customHeight="1">
      <c r="A6" s="2" t="s">
        <v>20</v>
      </c>
      <c r="B6" s="2" t="s">
        <v>65</v>
      </c>
      <c r="C6" s="2" t="s">
        <v>22</v>
      </c>
      <c r="D6" s="3" t="s">
        <v>66</v>
      </c>
      <c r="E6" s="3" t="s">
        <v>67</v>
      </c>
      <c r="F6" s="3" t="s">
        <v>68</v>
      </c>
      <c r="G6" s="41" t="s">
        <v>69</v>
      </c>
      <c r="H6" s="2">
        <v>3</v>
      </c>
      <c r="I6" s="2">
        <v>1</v>
      </c>
      <c r="J6" s="1">
        <v>5</v>
      </c>
      <c r="K6" s="1" t="s">
        <v>70</v>
      </c>
      <c r="L6" s="1">
        <v>3</v>
      </c>
      <c r="M6" s="1" t="s">
        <v>71</v>
      </c>
      <c r="N6" s="1">
        <v>5</v>
      </c>
      <c r="O6" s="1" t="s">
        <v>51</v>
      </c>
      <c r="P6" s="1" t="s">
        <v>52</v>
      </c>
      <c r="Q6" s="1">
        <v>5</v>
      </c>
      <c r="R6" s="1" t="s">
        <v>72</v>
      </c>
      <c r="S6" s="1" t="s">
        <v>32</v>
      </c>
      <c r="T6" s="1" t="s">
        <v>73</v>
      </c>
      <c r="U6" s="2"/>
      <c r="V6" s="2"/>
      <c r="W6" s="2"/>
      <c r="X6" s="2"/>
      <c r="Y6" s="2"/>
      <c r="Z6" s="2"/>
      <c r="AA6" s="2"/>
      <c r="AB6" s="2"/>
    </row>
    <row r="7" spans="1:28" ht="35.25" customHeight="1">
      <c r="A7" s="2" t="s">
        <v>20</v>
      </c>
      <c r="B7" s="2" t="s">
        <v>74</v>
      </c>
      <c r="C7" s="2" t="s">
        <v>22</v>
      </c>
      <c r="D7" s="3" t="s">
        <v>75</v>
      </c>
      <c r="E7" s="3" t="s">
        <v>76</v>
      </c>
      <c r="F7" s="3" t="s">
        <v>77</v>
      </c>
      <c r="G7" s="41" t="s">
        <v>78</v>
      </c>
      <c r="H7" s="2">
        <v>5</v>
      </c>
      <c r="I7" s="2">
        <v>1</v>
      </c>
      <c r="J7" s="1">
        <v>5</v>
      </c>
      <c r="K7" s="1" t="s">
        <v>79</v>
      </c>
      <c r="L7" s="1">
        <v>5</v>
      </c>
      <c r="M7" s="1" t="s">
        <v>80</v>
      </c>
      <c r="N7" s="1">
        <v>5</v>
      </c>
      <c r="O7" s="1" t="s">
        <v>81</v>
      </c>
      <c r="P7" s="1" t="s">
        <v>52</v>
      </c>
      <c r="Q7" s="1">
        <v>5</v>
      </c>
      <c r="R7" s="1" t="s">
        <v>82</v>
      </c>
      <c r="S7" s="1" t="s">
        <v>32</v>
      </c>
      <c r="T7" s="1" t="s">
        <v>83</v>
      </c>
      <c r="U7" s="2"/>
      <c r="V7" s="2"/>
      <c r="W7" s="2"/>
      <c r="X7" s="2"/>
      <c r="Y7" s="2"/>
      <c r="Z7" s="2"/>
      <c r="AA7" s="2"/>
      <c r="AB7" s="2"/>
    </row>
    <row r="8" spans="1:28" ht="35.25" customHeight="1">
      <c r="A8" s="2" t="s">
        <v>20</v>
      </c>
      <c r="B8" s="2" t="s">
        <v>84</v>
      </c>
      <c r="C8" s="2" t="s">
        <v>22</v>
      </c>
      <c r="D8" s="3" t="s">
        <v>85</v>
      </c>
      <c r="E8" s="3" t="s">
        <v>86</v>
      </c>
      <c r="F8" s="3" t="s">
        <v>87</v>
      </c>
      <c r="G8" s="41" t="s">
        <v>88</v>
      </c>
      <c r="H8" s="2">
        <v>5</v>
      </c>
      <c r="I8" s="2">
        <v>1</v>
      </c>
      <c r="J8" s="1">
        <v>5</v>
      </c>
      <c r="K8" s="1" t="s">
        <v>89</v>
      </c>
      <c r="L8" s="1">
        <v>5</v>
      </c>
      <c r="M8" s="1" t="s">
        <v>90</v>
      </c>
      <c r="N8" s="1">
        <v>5</v>
      </c>
      <c r="O8" s="1" t="s">
        <v>62</v>
      </c>
      <c r="P8" s="1" t="s">
        <v>52</v>
      </c>
      <c r="Q8" s="1">
        <v>5</v>
      </c>
      <c r="R8" s="1" t="s">
        <v>91</v>
      </c>
      <c r="S8" s="1" t="s">
        <v>32</v>
      </c>
      <c r="T8" s="1" t="s">
        <v>92</v>
      </c>
      <c r="U8" s="2"/>
      <c r="V8" s="2"/>
      <c r="W8" s="2"/>
      <c r="X8" s="2"/>
      <c r="Y8" s="2"/>
      <c r="Z8" s="2"/>
      <c r="AA8" s="2"/>
      <c r="AB8" s="2"/>
    </row>
    <row r="9" spans="1:28" ht="35.25" customHeight="1">
      <c r="A9" s="2" t="s">
        <v>20</v>
      </c>
      <c r="B9" s="2" t="s">
        <v>93</v>
      </c>
      <c r="C9" s="2" t="s">
        <v>22</v>
      </c>
      <c r="D9" s="5" t="s">
        <v>94</v>
      </c>
      <c r="E9" s="5" t="s">
        <v>95</v>
      </c>
      <c r="F9" s="5" t="s">
        <v>96</v>
      </c>
      <c r="G9" s="41" t="s">
        <v>97</v>
      </c>
      <c r="H9" s="2">
        <v>5</v>
      </c>
      <c r="I9" s="2">
        <v>1</v>
      </c>
      <c r="J9" s="1">
        <v>5</v>
      </c>
      <c r="K9" s="1" t="s">
        <v>98</v>
      </c>
      <c r="L9" s="1">
        <v>5</v>
      </c>
      <c r="M9" s="1" t="s">
        <v>99</v>
      </c>
      <c r="N9" s="1">
        <v>5</v>
      </c>
      <c r="O9" s="1" t="s">
        <v>100</v>
      </c>
      <c r="P9" s="1" t="s">
        <v>52</v>
      </c>
      <c r="Q9" s="1">
        <v>5</v>
      </c>
      <c r="R9" s="1" t="s">
        <v>101</v>
      </c>
      <c r="S9" s="1" t="s">
        <v>32</v>
      </c>
      <c r="T9" s="1" t="s">
        <v>102</v>
      </c>
      <c r="U9" s="2"/>
      <c r="V9" s="2"/>
      <c r="W9" s="2"/>
      <c r="X9" s="2"/>
      <c r="Y9" s="2"/>
      <c r="Z9" s="2"/>
      <c r="AA9" s="2"/>
      <c r="AB9" s="2"/>
    </row>
    <row r="10" spans="1:28" ht="35.25" customHeight="1">
      <c r="A10" s="2" t="s">
        <v>20</v>
      </c>
      <c r="B10" s="2" t="s">
        <v>103</v>
      </c>
      <c r="C10" s="2" t="s">
        <v>22</v>
      </c>
      <c r="D10" s="3" t="s">
        <v>104</v>
      </c>
      <c r="E10" s="3" t="s">
        <v>105</v>
      </c>
      <c r="F10" s="3" t="s">
        <v>106</v>
      </c>
      <c r="G10" s="41" t="s">
        <v>107</v>
      </c>
      <c r="H10" s="2">
        <v>3</v>
      </c>
      <c r="I10" s="2">
        <v>1</v>
      </c>
      <c r="J10" s="1">
        <v>5</v>
      </c>
      <c r="K10" s="1" t="s">
        <v>108</v>
      </c>
      <c r="L10" s="1">
        <v>3</v>
      </c>
      <c r="M10" s="1" t="s">
        <v>109</v>
      </c>
      <c r="N10" s="1">
        <v>5</v>
      </c>
      <c r="O10" s="1" t="s">
        <v>110</v>
      </c>
      <c r="P10" s="1" t="s">
        <v>52</v>
      </c>
      <c r="Q10" s="1">
        <v>5</v>
      </c>
      <c r="R10" s="1" t="s">
        <v>111</v>
      </c>
      <c r="S10" s="1" t="s">
        <v>32</v>
      </c>
      <c r="T10" s="1" t="s">
        <v>112</v>
      </c>
      <c r="U10" s="2"/>
      <c r="V10" s="2"/>
      <c r="W10" s="2"/>
      <c r="X10" s="2"/>
      <c r="Y10" s="2"/>
      <c r="Z10" s="2"/>
      <c r="AA10" s="2"/>
      <c r="AB10" s="2"/>
    </row>
    <row r="11" spans="1:28" ht="35.25" customHeight="1">
      <c r="A11" s="2" t="s">
        <v>20</v>
      </c>
      <c r="B11" s="2" t="s">
        <v>113</v>
      </c>
      <c r="C11" s="2" t="s">
        <v>22</v>
      </c>
      <c r="D11" s="3" t="s">
        <v>114</v>
      </c>
      <c r="E11" s="3" t="s">
        <v>115</v>
      </c>
      <c r="F11" s="3" t="s">
        <v>116</v>
      </c>
      <c r="G11" s="41" t="s">
        <v>117</v>
      </c>
      <c r="H11" s="2">
        <v>3</v>
      </c>
      <c r="I11" s="2">
        <v>1</v>
      </c>
      <c r="J11" s="1">
        <v>5</v>
      </c>
      <c r="K11" s="1" t="s">
        <v>118</v>
      </c>
      <c r="L11" s="1">
        <v>3</v>
      </c>
      <c r="M11" s="1" t="s">
        <v>119</v>
      </c>
      <c r="N11" s="1">
        <v>5</v>
      </c>
      <c r="O11" s="1" t="s">
        <v>120</v>
      </c>
      <c r="P11" s="1" t="s">
        <v>52</v>
      </c>
      <c r="Q11" s="1">
        <v>5</v>
      </c>
      <c r="R11" s="1" t="s">
        <v>121</v>
      </c>
      <c r="S11" s="1" t="s">
        <v>32</v>
      </c>
      <c r="T11" s="1" t="s">
        <v>122</v>
      </c>
      <c r="U11" s="2"/>
      <c r="V11" s="2"/>
      <c r="W11" s="2"/>
      <c r="X11" s="2"/>
      <c r="Y11" s="2"/>
      <c r="Z11" s="2"/>
      <c r="AA11" s="2"/>
      <c r="AB11" s="2"/>
    </row>
    <row r="12" spans="1:28" ht="35.25" customHeight="1">
      <c r="A12" s="2" t="s">
        <v>20</v>
      </c>
      <c r="B12" s="2" t="s">
        <v>123</v>
      </c>
      <c r="C12" s="2" t="s">
        <v>22</v>
      </c>
      <c r="D12" s="3" t="s">
        <v>124</v>
      </c>
      <c r="E12" s="3" t="s">
        <v>125</v>
      </c>
      <c r="F12" s="3" t="s">
        <v>126</v>
      </c>
      <c r="G12" s="41" t="s">
        <v>127</v>
      </c>
      <c r="H12" s="2">
        <v>5</v>
      </c>
      <c r="I12" s="2">
        <v>1</v>
      </c>
      <c r="J12" s="1">
        <v>5</v>
      </c>
      <c r="K12" s="1" t="s">
        <v>128</v>
      </c>
      <c r="L12" s="1">
        <v>5</v>
      </c>
      <c r="M12" s="1" t="s">
        <v>129</v>
      </c>
      <c r="N12" s="1">
        <v>5</v>
      </c>
      <c r="O12" s="1" t="s">
        <v>62</v>
      </c>
      <c r="P12" s="1" t="s">
        <v>52</v>
      </c>
      <c r="Q12" s="1">
        <v>5</v>
      </c>
      <c r="R12" s="1" t="s">
        <v>130</v>
      </c>
      <c r="S12" s="1" t="s">
        <v>32</v>
      </c>
      <c r="T12" s="1" t="s">
        <v>43</v>
      </c>
      <c r="U12" s="2"/>
      <c r="V12" s="2"/>
      <c r="W12" s="2"/>
      <c r="X12" s="2"/>
      <c r="Y12" s="2"/>
      <c r="Z12" s="2"/>
      <c r="AA12" s="2"/>
      <c r="AB12" s="2"/>
    </row>
    <row r="13" spans="1:28" ht="35.25" customHeight="1">
      <c r="A13" s="2" t="s">
        <v>20</v>
      </c>
      <c r="B13" s="2" t="s">
        <v>131</v>
      </c>
      <c r="C13" s="2" t="s">
        <v>22</v>
      </c>
      <c r="D13" s="3" t="s">
        <v>132</v>
      </c>
      <c r="E13" s="3" t="s">
        <v>133</v>
      </c>
      <c r="F13" s="3" t="s">
        <v>134</v>
      </c>
      <c r="G13" s="41" t="s">
        <v>135</v>
      </c>
      <c r="H13" s="2">
        <v>5</v>
      </c>
      <c r="I13" s="2">
        <v>1</v>
      </c>
      <c r="J13" s="1">
        <v>5</v>
      </c>
      <c r="K13" s="1" t="s">
        <v>136</v>
      </c>
      <c r="L13" s="1">
        <v>5</v>
      </c>
      <c r="M13" s="1" t="s">
        <v>137</v>
      </c>
      <c r="N13" s="1">
        <v>5</v>
      </c>
      <c r="O13" s="1" t="s">
        <v>138</v>
      </c>
      <c r="P13" s="1" t="s">
        <v>52</v>
      </c>
      <c r="Q13" s="1">
        <v>5</v>
      </c>
      <c r="R13" s="1" t="s">
        <v>139</v>
      </c>
      <c r="S13" s="1" t="s">
        <v>32</v>
      </c>
      <c r="T13" s="1" t="s">
        <v>140</v>
      </c>
      <c r="U13" s="2"/>
      <c r="V13" s="2"/>
      <c r="W13" s="2"/>
      <c r="X13" s="2"/>
      <c r="Y13" s="2"/>
      <c r="Z13" s="2"/>
      <c r="AA13" s="2"/>
      <c r="AB13" s="2"/>
    </row>
    <row r="14" spans="1:28" ht="35.25" customHeight="1">
      <c r="A14" s="2" t="s">
        <v>20</v>
      </c>
      <c r="B14" s="2" t="s">
        <v>141</v>
      </c>
      <c r="C14" s="2" t="s">
        <v>22</v>
      </c>
      <c r="D14" s="3" t="s">
        <v>142</v>
      </c>
      <c r="E14" s="3" t="s">
        <v>143</v>
      </c>
      <c r="F14" s="3" t="s">
        <v>144</v>
      </c>
      <c r="G14" s="41" t="s">
        <v>145</v>
      </c>
      <c r="H14" s="2">
        <v>3</v>
      </c>
      <c r="I14" s="2">
        <v>1</v>
      </c>
      <c r="J14" s="1">
        <v>5</v>
      </c>
      <c r="K14" s="1" t="s">
        <v>146</v>
      </c>
      <c r="L14" s="1">
        <v>3</v>
      </c>
      <c r="M14" s="1" t="s">
        <v>147</v>
      </c>
      <c r="N14" s="1">
        <v>5</v>
      </c>
      <c r="O14" s="1" t="s">
        <v>100</v>
      </c>
      <c r="P14" s="1" t="s">
        <v>52</v>
      </c>
      <c r="Q14" s="1">
        <v>5</v>
      </c>
      <c r="R14" s="1" t="s">
        <v>148</v>
      </c>
      <c r="S14" s="1" t="s">
        <v>32</v>
      </c>
      <c r="T14" s="1" t="s">
        <v>149</v>
      </c>
      <c r="U14" s="2"/>
      <c r="V14" s="2"/>
      <c r="W14" s="2"/>
      <c r="X14" s="2"/>
      <c r="Y14" s="2"/>
      <c r="Z14" s="2"/>
      <c r="AA14" s="2"/>
      <c r="AB14" s="2"/>
    </row>
    <row r="15" spans="1:28" ht="35.25" customHeight="1">
      <c r="A15" s="2" t="s">
        <v>20</v>
      </c>
      <c r="B15" s="2" t="s">
        <v>150</v>
      </c>
      <c r="C15" s="2" t="s">
        <v>22</v>
      </c>
      <c r="D15" s="3" t="s">
        <v>151</v>
      </c>
      <c r="E15" s="3" t="s">
        <v>152</v>
      </c>
      <c r="F15" s="3" t="s">
        <v>153</v>
      </c>
      <c r="G15" s="41" t="s">
        <v>154</v>
      </c>
      <c r="H15" s="2">
        <v>5</v>
      </c>
      <c r="I15" s="2">
        <v>1</v>
      </c>
      <c r="J15" s="1">
        <v>5</v>
      </c>
      <c r="K15" s="1" t="s">
        <v>155</v>
      </c>
      <c r="L15" s="1">
        <v>5</v>
      </c>
      <c r="M15" s="1" t="s">
        <v>156</v>
      </c>
      <c r="N15" s="1">
        <v>5</v>
      </c>
      <c r="O15" s="1" t="s">
        <v>51</v>
      </c>
      <c r="P15" s="1" t="s">
        <v>52</v>
      </c>
      <c r="Q15" s="1">
        <v>5</v>
      </c>
      <c r="R15" s="1" t="s">
        <v>157</v>
      </c>
      <c r="S15" s="1" t="s">
        <v>32</v>
      </c>
      <c r="T15" s="1" t="s">
        <v>158</v>
      </c>
      <c r="U15" s="2"/>
      <c r="V15" s="2"/>
      <c r="W15" s="2"/>
      <c r="X15" s="2"/>
      <c r="Y15" s="2"/>
      <c r="Z15" s="2"/>
      <c r="AA15" s="2"/>
      <c r="AB15" s="2"/>
    </row>
    <row r="16" spans="1:28" ht="35.25" customHeight="1">
      <c r="A16" s="2" t="s">
        <v>20</v>
      </c>
      <c r="B16" s="2" t="s">
        <v>159</v>
      </c>
      <c r="C16" s="2" t="s">
        <v>22</v>
      </c>
      <c r="D16" s="3" t="s">
        <v>160</v>
      </c>
      <c r="E16" s="3" t="s">
        <v>161</v>
      </c>
      <c r="F16" s="3" t="s">
        <v>162</v>
      </c>
      <c r="G16" s="41" t="s">
        <v>163</v>
      </c>
      <c r="H16" s="2">
        <v>3</v>
      </c>
      <c r="I16" s="2">
        <v>1</v>
      </c>
      <c r="J16" s="1">
        <v>3</v>
      </c>
      <c r="K16" s="1" t="s">
        <v>164</v>
      </c>
      <c r="L16" s="1">
        <v>3</v>
      </c>
      <c r="M16" s="1" t="s">
        <v>165</v>
      </c>
      <c r="N16" s="1">
        <v>5</v>
      </c>
      <c r="O16" s="1" t="s">
        <v>166</v>
      </c>
      <c r="P16" s="1" t="s">
        <v>52</v>
      </c>
      <c r="Q16" s="1">
        <v>5</v>
      </c>
      <c r="R16" s="1" t="s">
        <v>167</v>
      </c>
      <c r="S16" s="1" t="s">
        <v>32</v>
      </c>
      <c r="T16" s="1" t="s">
        <v>168</v>
      </c>
      <c r="U16" s="2"/>
      <c r="V16" s="2"/>
      <c r="W16" s="2"/>
      <c r="X16" s="2"/>
      <c r="Y16" s="2"/>
      <c r="Z16" s="2"/>
      <c r="AA16" s="2"/>
      <c r="AB16" s="2"/>
    </row>
    <row r="17" spans="1:28" ht="35.25" customHeight="1">
      <c r="A17" s="2" t="s">
        <v>20</v>
      </c>
      <c r="B17" s="2" t="s">
        <v>169</v>
      </c>
      <c r="C17" s="2" t="s">
        <v>22</v>
      </c>
      <c r="D17" s="3" t="s">
        <v>170</v>
      </c>
      <c r="E17" s="3" t="s">
        <v>171</v>
      </c>
      <c r="F17" s="3" t="s">
        <v>172</v>
      </c>
      <c r="G17" s="41" t="s">
        <v>173</v>
      </c>
      <c r="H17" s="2">
        <v>3</v>
      </c>
      <c r="I17" s="2">
        <v>1</v>
      </c>
      <c r="J17" s="1">
        <v>5</v>
      </c>
      <c r="K17" s="1" t="s">
        <v>174</v>
      </c>
      <c r="L17" s="1">
        <v>3</v>
      </c>
      <c r="M17" s="1" t="s">
        <v>175</v>
      </c>
      <c r="N17" s="1">
        <v>5</v>
      </c>
      <c r="O17" s="1" t="s">
        <v>100</v>
      </c>
      <c r="P17" s="1" t="s">
        <v>176</v>
      </c>
      <c r="Q17" s="1">
        <v>5</v>
      </c>
      <c r="R17" s="1" t="s">
        <v>177</v>
      </c>
      <c r="S17" s="1" t="s">
        <v>32</v>
      </c>
      <c r="T17" s="1" t="s">
        <v>178</v>
      </c>
      <c r="U17" s="2"/>
      <c r="V17" s="2"/>
      <c r="W17" s="2"/>
      <c r="X17" s="2"/>
      <c r="Y17" s="2"/>
      <c r="Z17" s="2"/>
      <c r="AA17" s="2"/>
      <c r="AB17" s="2"/>
    </row>
    <row r="18" spans="1:28" ht="35.25" customHeight="1">
      <c r="A18" s="2" t="s">
        <v>20</v>
      </c>
      <c r="B18" s="2" t="s">
        <v>179</v>
      </c>
      <c r="C18" s="2" t="s">
        <v>22</v>
      </c>
      <c r="D18" s="3" t="s">
        <v>180</v>
      </c>
      <c r="E18" s="3" t="s">
        <v>181</v>
      </c>
      <c r="F18" s="3" t="s">
        <v>182</v>
      </c>
      <c r="G18" s="41" t="s">
        <v>183</v>
      </c>
      <c r="H18" s="2">
        <v>5</v>
      </c>
      <c r="I18" s="2">
        <v>1</v>
      </c>
      <c r="J18" s="1">
        <v>5</v>
      </c>
      <c r="K18" s="1" t="s">
        <v>184</v>
      </c>
      <c r="L18" s="1">
        <v>5</v>
      </c>
      <c r="M18" s="1" t="s">
        <v>185</v>
      </c>
      <c r="N18" s="1">
        <v>5</v>
      </c>
      <c r="O18" s="1" t="s">
        <v>186</v>
      </c>
      <c r="P18" s="1" t="s">
        <v>52</v>
      </c>
      <c r="Q18" s="1">
        <v>5</v>
      </c>
      <c r="R18" s="1" t="s">
        <v>187</v>
      </c>
      <c r="S18" s="1" t="s">
        <v>32</v>
      </c>
      <c r="T18" s="1" t="s">
        <v>188</v>
      </c>
      <c r="U18" s="2"/>
      <c r="V18" s="2"/>
      <c r="W18" s="2"/>
      <c r="X18" s="2"/>
      <c r="Y18" s="2"/>
      <c r="Z18" s="2"/>
      <c r="AA18" s="2"/>
      <c r="AB18" s="2"/>
    </row>
    <row r="19" spans="1:28" ht="35.25" customHeight="1">
      <c r="A19" s="2" t="s">
        <v>20</v>
      </c>
      <c r="B19" s="2" t="s">
        <v>189</v>
      </c>
      <c r="C19" s="2" t="s">
        <v>22</v>
      </c>
      <c r="D19" s="3" t="s">
        <v>190</v>
      </c>
      <c r="E19" s="3" t="s">
        <v>191</v>
      </c>
      <c r="F19" s="3" t="s">
        <v>192</v>
      </c>
      <c r="G19" s="41" t="s">
        <v>193</v>
      </c>
      <c r="H19" s="2">
        <v>5</v>
      </c>
      <c r="I19" s="2">
        <v>1</v>
      </c>
      <c r="J19" s="1">
        <v>5</v>
      </c>
      <c r="K19" s="1" t="s">
        <v>194</v>
      </c>
      <c r="L19" s="1">
        <v>5</v>
      </c>
      <c r="M19" s="1" t="s">
        <v>195</v>
      </c>
      <c r="N19" s="1">
        <v>5</v>
      </c>
      <c r="O19" s="1" t="s">
        <v>62</v>
      </c>
      <c r="P19" s="1" t="s">
        <v>52</v>
      </c>
      <c r="Q19" s="1">
        <v>5</v>
      </c>
      <c r="R19" s="1" t="s">
        <v>196</v>
      </c>
      <c r="S19" s="1" t="s">
        <v>32</v>
      </c>
      <c r="T19" s="1" t="s">
        <v>102</v>
      </c>
      <c r="U19" s="2"/>
      <c r="V19" s="2"/>
      <c r="W19" s="2"/>
      <c r="X19" s="2"/>
      <c r="Y19" s="2"/>
      <c r="Z19" s="2"/>
      <c r="AA19" s="2"/>
      <c r="AB19" s="2"/>
    </row>
    <row r="20" spans="1:28" ht="35.25" customHeight="1">
      <c r="A20" s="2" t="s">
        <v>20</v>
      </c>
      <c r="B20" s="2" t="s">
        <v>197</v>
      </c>
      <c r="C20" s="2" t="s">
        <v>22</v>
      </c>
      <c r="D20" s="3" t="s">
        <v>198</v>
      </c>
      <c r="E20" s="3" t="s">
        <v>199</v>
      </c>
      <c r="F20" s="3" t="s">
        <v>200</v>
      </c>
      <c r="G20" s="41" t="s">
        <v>201</v>
      </c>
      <c r="H20" s="2">
        <v>5</v>
      </c>
      <c r="I20" s="2">
        <v>1</v>
      </c>
      <c r="J20" s="1">
        <v>5</v>
      </c>
      <c r="K20" s="1" t="s">
        <v>202</v>
      </c>
      <c r="L20" s="1">
        <v>5</v>
      </c>
      <c r="M20" s="1" t="s">
        <v>203</v>
      </c>
      <c r="N20" s="1">
        <v>5</v>
      </c>
      <c r="O20" s="1" t="s">
        <v>62</v>
      </c>
      <c r="P20" s="1" t="s">
        <v>52</v>
      </c>
      <c r="Q20" s="1">
        <v>5</v>
      </c>
      <c r="R20" s="1" t="s">
        <v>204</v>
      </c>
      <c r="S20" s="1" t="s">
        <v>32</v>
      </c>
      <c r="T20" s="1" t="s">
        <v>92</v>
      </c>
      <c r="U20" s="2"/>
      <c r="V20" s="2"/>
      <c r="W20" s="2"/>
      <c r="X20" s="2"/>
      <c r="Y20" s="2"/>
      <c r="Z20" s="2"/>
      <c r="AA20" s="2"/>
      <c r="AB20" s="2"/>
    </row>
    <row r="21" spans="1:28" ht="35.25" customHeight="1">
      <c r="A21" s="2" t="s">
        <v>20</v>
      </c>
      <c r="B21" s="2" t="s">
        <v>205</v>
      </c>
      <c r="C21" s="2" t="s">
        <v>22</v>
      </c>
      <c r="D21" s="3" t="s">
        <v>206</v>
      </c>
      <c r="E21" s="3" t="s">
        <v>207</v>
      </c>
      <c r="F21" s="3" t="s">
        <v>208</v>
      </c>
      <c r="G21" s="41" t="s">
        <v>209</v>
      </c>
      <c r="H21" s="2">
        <v>3</v>
      </c>
      <c r="I21" s="2">
        <v>1</v>
      </c>
      <c r="J21" s="1">
        <v>3</v>
      </c>
      <c r="K21" s="1" t="s">
        <v>210</v>
      </c>
      <c r="L21" s="1">
        <v>3</v>
      </c>
      <c r="M21" s="1" t="s">
        <v>211</v>
      </c>
      <c r="N21" s="1">
        <v>5</v>
      </c>
      <c r="O21" s="1" t="s">
        <v>51</v>
      </c>
      <c r="P21" s="1" t="s">
        <v>52</v>
      </c>
      <c r="Q21" s="1">
        <v>5</v>
      </c>
      <c r="R21" s="1" t="s">
        <v>212</v>
      </c>
      <c r="S21" s="1" t="s">
        <v>32</v>
      </c>
      <c r="T21" s="1" t="s">
        <v>213</v>
      </c>
      <c r="U21" s="2"/>
      <c r="V21" s="2"/>
      <c r="W21" s="2"/>
      <c r="X21" s="2"/>
      <c r="Y21" s="2"/>
      <c r="Z21" s="2"/>
      <c r="AA21" s="2"/>
      <c r="AB21" s="2"/>
    </row>
    <row r="22" spans="1:28" ht="35.25" customHeight="1">
      <c r="A22" s="2" t="s">
        <v>20</v>
      </c>
      <c r="B22" s="2" t="s">
        <v>214</v>
      </c>
      <c r="C22" s="2" t="s">
        <v>215</v>
      </c>
      <c r="D22" s="3" t="s">
        <v>216</v>
      </c>
      <c r="E22" s="3" t="s">
        <v>217</v>
      </c>
      <c r="F22" s="3" t="s">
        <v>218</v>
      </c>
      <c r="G22" s="41" t="s">
        <v>219</v>
      </c>
      <c r="H22" s="2">
        <v>5</v>
      </c>
      <c r="I22" s="2">
        <v>1</v>
      </c>
      <c r="J22" s="1">
        <v>5</v>
      </c>
      <c r="K22" s="1" t="s">
        <v>220</v>
      </c>
      <c r="L22" s="1">
        <v>5</v>
      </c>
      <c r="M22" s="1" t="s">
        <v>221</v>
      </c>
      <c r="N22" s="1">
        <v>5</v>
      </c>
      <c r="O22" s="1" t="s">
        <v>222</v>
      </c>
      <c r="P22" s="1" t="s">
        <v>52</v>
      </c>
      <c r="Q22" s="1">
        <v>5</v>
      </c>
      <c r="R22" s="1" t="s">
        <v>223</v>
      </c>
      <c r="S22" s="1" t="s">
        <v>32</v>
      </c>
      <c r="T22" s="1" t="s">
        <v>92</v>
      </c>
      <c r="U22" s="2"/>
      <c r="V22" s="2"/>
      <c r="W22" s="2"/>
      <c r="X22" s="2"/>
      <c r="Y22" s="2"/>
      <c r="Z22" s="2"/>
      <c r="AA22" s="2"/>
      <c r="AB22" s="2"/>
    </row>
    <row r="23" spans="1:28" ht="35.25" customHeight="1">
      <c r="A23" s="2" t="s">
        <v>20</v>
      </c>
      <c r="B23" s="2" t="s">
        <v>224</v>
      </c>
      <c r="C23" s="2" t="s">
        <v>215</v>
      </c>
      <c r="D23" s="3" t="s">
        <v>225</v>
      </c>
      <c r="E23" s="3" t="s">
        <v>226</v>
      </c>
      <c r="F23" s="3" t="s">
        <v>227</v>
      </c>
      <c r="G23" s="41" t="s">
        <v>228</v>
      </c>
      <c r="H23" s="2">
        <v>3</v>
      </c>
      <c r="I23" s="2">
        <v>1</v>
      </c>
      <c r="J23" s="1">
        <v>5</v>
      </c>
      <c r="K23" s="1" t="s">
        <v>229</v>
      </c>
      <c r="L23" s="1">
        <v>3</v>
      </c>
      <c r="M23" s="1" t="s">
        <v>230</v>
      </c>
      <c r="N23" s="1">
        <v>5</v>
      </c>
      <c r="O23" s="1" t="s">
        <v>231</v>
      </c>
      <c r="P23" s="1" t="s">
        <v>52</v>
      </c>
      <c r="Q23" s="1">
        <v>5</v>
      </c>
      <c r="R23" s="1" t="s">
        <v>232</v>
      </c>
      <c r="S23" s="1" t="s">
        <v>32</v>
      </c>
      <c r="T23" s="1" t="s">
        <v>233</v>
      </c>
      <c r="U23" s="2"/>
      <c r="V23" s="2"/>
      <c r="W23" s="2"/>
      <c r="X23" s="2"/>
      <c r="Y23" s="2"/>
      <c r="Z23" s="2"/>
      <c r="AA23" s="2"/>
      <c r="AB23" s="2"/>
    </row>
    <row r="24" spans="1:28" ht="35.25" customHeight="1">
      <c r="A24" s="2" t="s">
        <v>20</v>
      </c>
      <c r="B24" s="2" t="s">
        <v>234</v>
      </c>
      <c r="C24" s="2" t="s">
        <v>215</v>
      </c>
      <c r="D24" s="3" t="s">
        <v>235</v>
      </c>
      <c r="E24" s="3" t="s">
        <v>236</v>
      </c>
      <c r="F24" s="3" t="s">
        <v>237</v>
      </c>
      <c r="G24" s="41" t="s">
        <v>238</v>
      </c>
      <c r="H24" s="2">
        <v>1</v>
      </c>
      <c r="I24" s="2">
        <v>0</v>
      </c>
      <c r="J24" s="1">
        <v>1</v>
      </c>
      <c r="K24" s="1" t="s">
        <v>239</v>
      </c>
      <c r="L24" s="1">
        <v>1</v>
      </c>
      <c r="M24" s="1" t="s">
        <v>240</v>
      </c>
      <c r="N24" s="1">
        <v>3</v>
      </c>
      <c r="O24" s="1" t="s">
        <v>241</v>
      </c>
      <c r="P24" s="1" t="s">
        <v>52</v>
      </c>
      <c r="Q24" s="1">
        <v>5</v>
      </c>
      <c r="R24" s="1" t="s">
        <v>242</v>
      </c>
      <c r="S24" s="1" t="s">
        <v>243</v>
      </c>
      <c r="T24" s="1" t="s">
        <v>244</v>
      </c>
      <c r="U24" s="2"/>
      <c r="V24" s="2"/>
      <c r="W24" s="2"/>
      <c r="X24" s="2"/>
      <c r="Y24" s="2"/>
      <c r="Z24" s="2"/>
      <c r="AA24" s="2"/>
      <c r="AB24" s="2"/>
    </row>
    <row r="25" spans="1:28" ht="35.25" customHeight="1">
      <c r="A25" s="2" t="s">
        <v>20</v>
      </c>
      <c r="B25" s="2" t="s">
        <v>245</v>
      </c>
      <c r="C25" s="2" t="s">
        <v>215</v>
      </c>
      <c r="D25" s="3" t="s">
        <v>246</v>
      </c>
      <c r="E25" s="3" t="s">
        <v>247</v>
      </c>
      <c r="F25" s="3" t="s">
        <v>248</v>
      </c>
      <c r="G25" s="41" t="s">
        <v>249</v>
      </c>
      <c r="H25" s="2">
        <v>5</v>
      </c>
      <c r="I25" s="2">
        <v>1</v>
      </c>
      <c r="J25" s="1">
        <v>5</v>
      </c>
      <c r="K25" s="1" t="s">
        <v>250</v>
      </c>
      <c r="L25" s="1">
        <v>5</v>
      </c>
      <c r="M25" s="1" t="s">
        <v>251</v>
      </c>
      <c r="N25" s="1">
        <v>5</v>
      </c>
      <c r="O25" s="1" t="s">
        <v>51</v>
      </c>
      <c r="P25" s="1" t="s">
        <v>52</v>
      </c>
      <c r="Q25" s="1">
        <v>5</v>
      </c>
      <c r="R25" s="1" t="s">
        <v>252</v>
      </c>
      <c r="S25" s="1" t="s">
        <v>32</v>
      </c>
      <c r="T25" s="1" t="s">
        <v>43</v>
      </c>
      <c r="U25" s="2"/>
      <c r="V25" s="2"/>
      <c r="W25" s="2"/>
      <c r="X25" s="2"/>
      <c r="Y25" s="2"/>
      <c r="Z25" s="2"/>
      <c r="AA25" s="2"/>
      <c r="AB25" s="2"/>
    </row>
    <row r="26" spans="1:28" ht="35.25" customHeight="1">
      <c r="A26" s="2" t="s">
        <v>20</v>
      </c>
      <c r="B26" s="2" t="s">
        <v>253</v>
      </c>
      <c r="C26" s="2" t="s">
        <v>215</v>
      </c>
      <c r="D26" s="6" t="s">
        <v>254</v>
      </c>
      <c r="E26" s="6" t="s">
        <v>255</v>
      </c>
      <c r="F26" s="6" t="s">
        <v>256</v>
      </c>
      <c r="G26" s="41" t="s">
        <v>257</v>
      </c>
      <c r="H26" s="2">
        <v>3</v>
      </c>
      <c r="I26" s="2">
        <v>1</v>
      </c>
      <c r="J26" s="1">
        <v>5</v>
      </c>
      <c r="K26" s="1" t="s">
        <v>258</v>
      </c>
      <c r="L26" s="1">
        <v>3</v>
      </c>
      <c r="M26" s="1" t="s">
        <v>259</v>
      </c>
      <c r="N26" s="1">
        <v>5</v>
      </c>
      <c r="O26" s="1" t="s">
        <v>260</v>
      </c>
      <c r="P26" s="1" t="s">
        <v>52</v>
      </c>
      <c r="Q26" s="1">
        <v>5</v>
      </c>
      <c r="R26" s="1" t="s">
        <v>261</v>
      </c>
      <c r="S26" s="1" t="s">
        <v>32</v>
      </c>
      <c r="T26" s="1" t="s">
        <v>262</v>
      </c>
      <c r="U26" s="2"/>
      <c r="V26" s="2"/>
      <c r="W26" s="2"/>
      <c r="X26" s="2"/>
      <c r="Y26" s="2"/>
      <c r="Z26" s="2"/>
      <c r="AA26" s="2"/>
      <c r="AB26" s="2"/>
    </row>
    <row r="27" spans="1:28" ht="35.25" customHeight="1">
      <c r="A27" s="2" t="s">
        <v>20</v>
      </c>
      <c r="B27" s="2" t="s">
        <v>263</v>
      </c>
      <c r="C27" s="2" t="s">
        <v>215</v>
      </c>
      <c r="D27" s="6" t="s">
        <v>264</v>
      </c>
      <c r="E27" s="6" t="s">
        <v>265</v>
      </c>
      <c r="F27" s="6" t="s">
        <v>266</v>
      </c>
      <c r="G27" s="41" t="s">
        <v>267</v>
      </c>
      <c r="H27" s="2">
        <v>3</v>
      </c>
      <c r="I27" s="2">
        <v>1</v>
      </c>
      <c r="J27" s="1">
        <v>5</v>
      </c>
      <c r="K27" s="1" t="s">
        <v>268</v>
      </c>
      <c r="L27" s="1">
        <v>3</v>
      </c>
      <c r="M27" s="1" t="s">
        <v>269</v>
      </c>
      <c r="N27" s="1">
        <v>5</v>
      </c>
      <c r="O27" s="1" t="s">
        <v>270</v>
      </c>
      <c r="P27" s="1" t="s">
        <v>30</v>
      </c>
      <c r="Q27" s="1">
        <v>5</v>
      </c>
      <c r="R27" s="1" t="s">
        <v>271</v>
      </c>
      <c r="S27" s="1" t="s">
        <v>32</v>
      </c>
      <c r="T27" s="1" t="s">
        <v>272</v>
      </c>
      <c r="U27" s="2"/>
      <c r="V27" s="2"/>
      <c r="W27" s="2"/>
      <c r="X27" s="2"/>
      <c r="Y27" s="2"/>
      <c r="Z27" s="2"/>
      <c r="AA27" s="2"/>
      <c r="AB27" s="2"/>
    </row>
    <row r="28" spans="1:28" ht="35.25" customHeight="1">
      <c r="A28" s="2" t="s">
        <v>20</v>
      </c>
      <c r="B28" s="2" t="s">
        <v>273</v>
      </c>
      <c r="C28" s="2" t="s">
        <v>215</v>
      </c>
      <c r="D28" s="6" t="s">
        <v>274</v>
      </c>
      <c r="E28" s="6" t="s">
        <v>275</v>
      </c>
      <c r="F28" s="6" t="s">
        <v>276</v>
      </c>
      <c r="G28" s="41" t="s">
        <v>277</v>
      </c>
      <c r="H28" s="2">
        <v>3</v>
      </c>
      <c r="I28" s="2">
        <v>1</v>
      </c>
      <c r="J28" s="1">
        <v>5</v>
      </c>
      <c r="K28" s="1" t="s">
        <v>278</v>
      </c>
      <c r="L28" s="1">
        <v>3</v>
      </c>
      <c r="M28" s="1" t="s">
        <v>279</v>
      </c>
      <c r="N28" s="1">
        <v>5</v>
      </c>
      <c r="O28" s="1" t="s">
        <v>62</v>
      </c>
      <c r="P28" s="1" t="s">
        <v>52</v>
      </c>
      <c r="Q28" s="1">
        <v>5</v>
      </c>
      <c r="R28" s="1" t="s">
        <v>280</v>
      </c>
      <c r="S28" s="1" t="s">
        <v>32</v>
      </c>
      <c r="T28" s="1" t="s">
        <v>281</v>
      </c>
      <c r="U28" s="2"/>
      <c r="V28" s="2"/>
      <c r="W28" s="2"/>
      <c r="X28" s="2"/>
      <c r="Y28" s="2"/>
      <c r="Z28" s="2"/>
      <c r="AA28" s="2"/>
      <c r="AB28" s="2"/>
    </row>
    <row r="29" spans="1:28" ht="35.25" customHeight="1">
      <c r="A29" s="2" t="s">
        <v>20</v>
      </c>
      <c r="B29" s="2" t="s">
        <v>282</v>
      </c>
      <c r="C29" s="2" t="s">
        <v>215</v>
      </c>
      <c r="D29" s="6" t="s">
        <v>283</v>
      </c>
      <c r="E29" s="6" t="s">
        <v>284</v>
      </c>
      <c r="F29" s="6" t="s">
        <v>285</v>
      </c>
      <c r="G29" s="41" t="s">
        <v>286</v>
      </c>
      <c r="H29" s="2">
        <v>3</v>
      </c>
      <c r="I29" s="2">
        <v>1</v>
      </c>
      <c r="J29" s="1">
        <v>5</v>
      </c>
      <c r="K29" s="1" t="s">
        <v>287</v>
      </c>
      <c r="L29" s="1">
        <v>3</v>
      </c>
      <c r="M29" s="1" t="s">
        <v>288</v>
      </c>
      <c r="N29" s="1">
        <v>5</v>
      </c>
      <c r="O29" s="1" t="s">
        <v>62</v>
      </c>
      <c r="P29" s="1" t="s">
        <v>52</v>
      </c>
      <c r="Q29" s="1">
        <v>5</v>
      </c>
      <c r="R29" s="1" t="s">
        <v>289</v>
      </c>
      <c r="S29" s="1" t="s">
        <v>32</v>
      </c>
      <c r="T29" s="1" t="s">
        <v>290</v>
      </c>
      <c r="U29" s="2"/>
      <c r="V29" s="2"/>
      <c r="W29" s="2"/>
      <c r="X29" s="2"/>
      <c r="Y29" s="2"/>
      <c r="Z29" s="2"/>
      <c r="AA29" s="2"/>
      <c r="AB29" s="2"/>
    </row>
    <row r="30" spans="1:28" ht="35.25" customHeight="1">
      <c r="A30" s="2" t="s">
        <v>20</v>
      </c>
      <c r="B30" s="2" t="s">
        <v>291</v>
      </c>
      <c r="C30" s="2" t="s">
        <v>215</v>
      </c>
      <c r="D30" s="6" t="s">
        <v>292</v>
      </c>
      <c r="E30" s="6" t="s">
        <v>293</v>
      </c>
      <c r="F30" s="6" t="s">
        <v>294</v>
      </c>
      <c r="G30" s="41" t="s">
        <v>295</v>
      </c>
      <c r="H30" s="2">
        <v>3</v>
      </c>
      <c r="I30" s="2">
        <v>1</v>
      </c>
      <c r="J30" s="1">
        <v>5</v>
      </c>
      <c r="K30" s="1" t="s">
        <v>296</v>
      </c>
      <c r="L30" s="1">
        <v>3</v>
      </c>
      <c r="M30" s="1" t="s">
        <v>297</v>
      </c>
      <c r="N30" s="1">
        <v>5</v>
      </c>
      <c r="O30" s="1" t="s">
        <v>298</v>
      </c>
      <c r="P30" s="1" t="s">
        <v>52</v>
      </c>
      <c r="Q30" s="1">
        <v>5</v>
      </c>
      <c r="R30" s="1" t="s">
        <v>299</v>
      </c>
      <c r="S30" s="1" t="s">
        <v>32</v>
      </c>
      <c r="T30" s="1" t="s">
        <v>300</v>
      </c>
      <c r="U30" s="2"/>
      <c r="V30" s="2"/>
      <c r="W30" s="2"/>
      <c r="X30" s="2"/>
      <c r="Y30" s="2"/>
      <c r="Z30" s="2"/>
      <c r="AA30" s="2"/>
      <c r="AB30" s="2"/>
    </row>
    <row r="31" spans="1:28" ht="35.25" customHeight="1">
      <c r="A31" s="2" t="s">
        <v>20</v>
      </c>
      <c r="B31" s="2" t="s">
        <v>301</v>
      </c>
      <c r="C31" s="2" t="s">
        <v>215</v>
      </c>
      <c r="D31" s="6" t="s">
        <v>302</v>
      </c>
      <c r="E31" s="6" t="s">
        <v>303</v>
      </c>
      <c r="F31" s="6" t="s">
        <v>304</v>
      </c>
      <c r="G31" s="41" t="s">
        <v>305</v>
      </c>
      <c r="H31" s="2">
        <v>5</v>
      </c>
      <c r="I31" s="2">
        <v>1</v>
      </c>
      <c r="J31" s="1">
        <v>5</v>
      </c>
      <c r="K31" s="1" t="s">
        <v>306</v>
      </c>
      <c r="L31" s="1">
        <v>5</v>
      </c>
      <c r="M31" s="1" t="s">
        <v>307</v>
      </c>
      <c r="N31" s="1">
        <v>5</v>
      </c>
      <c r="O31" s="1" t="s">
        <v>308</v>
      </c>
      <c r="P31" s="1" t="s">
        <v>52</v>
      </c>
      <c r="Q31" s="1">
        <v>5</v>
      </c>
      <c r="R31" s="1" t="s">
        <v>148</v>
      </c>
      <c r="S31" s="1" t="s">
        <v>32</v>
      </c>
      <c r="T31" s="1" t="s">
        <v>102</v>
      </c>
      <c r="U31" s="2"/>
      <c r="V31" s="2"/>
      <c r="W31" s="2"/>
      <c r="X31" s="2"/>
      <c r="Y31" s="2"/>
      <c r="Z31" s="2"/>
      <c r="AA31" s="2"/>
      <c r="AB31" s="2"/>
    </row>
    <row r="32" spans="1:28" ht="35.25" customHeight="1">
      <c r="A32" s="2" t="s">
        <v>20</v>
      </c>
      <c r="B32" s="2" t="s">
        <v>309</v>
      </c>
      <c r="C32" s="2" t="s">
        <v>215</v>
      </c>
      <c r="D32" s="6" t="s">
        <v>310</v>
      </c>
      <c r="E32" s="6" t="s">
        <v>311</v>
      </c>
      <c r="F32" s="6" t="s">
        <v>312</v>
      </c>
      <c r="G32" s="41" t="s">
        <v>313</v>
      </c>
      <c r="H32" s="2">
        <v>5</v>
      </c>
      <c r="I32" s="2">
        <v>1</v>
      </c>
      <c r="J32" s="1">
        <v>5</v>
      </c>
      <c r="K32" s="1" t="s">
        <v>314</v>
      </c>
      <c r="L32" s="1">
        <v>5</v>
      </c>
      <c r="M32" s="1" t="s">
        <v>315</v>
      </c>
      <c r="N32" s="1">
        <v>5</v>
      </c>
      <c r="O32" s="1" t="s">
        <v>51</v>
      </c>
      <c r="P32" s="1" t="s">
        <v>52</v>
      </c>
      <c r="Q32" s="1">
        <v>5</v>
      </c>
      <c r="R32" s="1" t="s">
        <v>316</v>
      </c>
      <c r="S32" s="1" t="s">
        <v>32</v>
      </c>
      <c r="T32" s="1" t="s">
        <v>158</v>
      </c>
      <c r="U32" s="2"/>
      <c r="V32" s="2"/>
      <c r="W32" s="2"/>
      <c r="X32" s="2"/>
      <c r="Y32" s="2"/>
      <c r="Z32" s="2"/>
      <c r="AA32" s="2"/>
      <c r="AB32" s="2"/>
    </row>
    <row r="33" spans="1:28" ht="35.25" customHeight="1">
      <c r="A33" s="2" t="s">
        <v>20</v>
      </c>
      <c r="B33" s="2" t="s">
        <v>317</v>
      </c>
      <c r="C33" s="2" t="s">
        <v>215</v>
      </c>
      <c r="D33" s="6" t="s">
        <v>318</v>
      </c>
      <c r="E33" s="6" t="s">
        <v>319</v>
      </c>
      <c r="F33" s="6" t="s">
        <v>320</v>
      </c>
      <c r="G33" s="41" t="s">
        <v>321</v>
      </c>
      <c r="H33" s="2">
        <v>3</v>
      </c>
      <c r="I33" s="2">
        <v>1</v>
      </c>
      <c r="J33" s="1">
        <v>5</v>
      </c>
      <c r="K33" s="1" t="s">
        <v>322</v>
      </c>
      <c r="L33" s="1">
        <v>3</v>
      </c>
      <c r="M33" s="1" t="s">
        <v>323</v>
      </c>
      <c r="N33" s="1">
        <v>5</v>
      </c>
      <c r="O33" s="1" t="s">
        <v>62</v>
      </c>
      <c r="P33" s="1" t="s">
        <v>52</v>
      </c>
      <c r="Q33" s="1">
        <v>5</v>
      </c>
      <c r="R33" s="1" t="s">
        <v>324</v>
      </c>
      <c r="S33" s="1" t="s">
        <v>32</v>
      </c>
      <c r="T33" s="1" t="s">
        <v>325</v>
      </c>
      <c r="U33" s="2"/>
      <c r="V33" s="2"/>
      <c r="W33" s="2"/>
      <c r="X33" s="2"/>
      <c r="Y33" s="2"/>
      <c r="Z33" s="2"/>
      <c r="AA33" s="2"/>
      <c r="AB33" s="2"/>
    </row>
    <row r="34" spans="1:28" ht="35.25" customHeight="1">
      <c r="A34" s="2" t="s">
        <v>20</v>
      </c>
      <c r="B34" s="2" t="s">
        <v>326</v>
      </c>
      <c r="C34" s="4" t="s">
        <v>327</v>
      </c>
      <c r="D34" s="6" t="s">
        <v>328</v>
      </c>
      <c r="E34" s="6" t="s">
        <v>329</v>
      </c>
      <c r="F34" s="6" t="s">
        <v>330</v>
      </c>
      <c r="G34" s="41" t="s">
        <v>331</v>
      </c>
      <c r="H34" s="2">
        <v>5</v>
      </c>
      <c r="I34" s="2">
        <v>1</v>
      </c>
      <c r="J34" s="1">
        <v>5</v>
      </c>
      <c r="K34" s="1" t="s">
        <v>332</v>
      </c>
      <c r="L34" s="1">
        <v>5</v>
      </c>
      <c r="M34" s="1" t="s">
        <v>333</v>
      </c>
      <c r="N34" s="1">
        <v>5</v>
      </c>
      <c r="O34" s="1" t="s">
        <v>62</v>
      </c>
      <c r="P34" s="1" t="s">
        <v>30</v>
      </c>
      <c r="Q34" s="1">
        <v>5</v>
      </c>
      <c r="R34" s="1" t="s">
        <v>334</v>
      </c>
      <c r="S34" s="1" t="s">
        <v>32</v>
      </c>
      <c r="T34" s="1" t="s">
        <v>335</v>
      </c>
      <c r="U34" s="2"/>
      <c r="V34" s="2"/>
      <c r="W34" s="2"/>
      <c r="X34" s="2"/>
      <c r="Y34" s="2"/>
    </row>
    <row r="35" spans="1:28" ht="35.25" customHeight="1">
      <c r="A35" s="2" t="s">
        <v>20</v>
      </c>
      <c r="B35" s="2" t="s">
        <v>336</v>
      </c>
      <c r="C35" s="4" t="s">
        <v>327</v>
      </c>
      <c r="D35" s="6" t="s">
        <v>337</v>
      </c>
      <c r="E35" s="6" t="s">
        <v>338</v>
      </c>
      <c r="F35" s="6" t="s">
        <v>339</v>
      </c>
      <c r="G35" s="41" t="s">
        <v>340</v>
      </c>
      <c r="H35" s="2">
        <v>5</v>
      </c>
      <c r="I35" s="2">
        <v>1</v>
      </c>
      <c r="J35" s="1">
        <v>5</v>
      </c>
      <c r="K35" s="1" t="s">
        <v>341</v>
      </c>
      <c r="L35" s="1">
        <v>5</v>
      </c>
      <c r="M35" s="1" t="s">
        <v>342</v>
      </c>
      <c r="N35" s="1">
        <v>5</v>
      </c>
      <c r="O35" s="1" t="s">
        <v>62</v>
      </c>
      <c r="P35" s="1" t="s">
        <v>52</v>
      </c>
      <c r="Q35" s="1">
        <v>5</v>
      </c>
      <c r="R35" s="1" t="s">
        <v>343</v>
      </c>
      <c r="S35" s="1" t="s">
        <v>32</v>
      </c>
      <c r="T35" s="1" t="s">
        <v>344</v>
      </c>
      <c r="U35" s="2"/>
      <c r="V35" s="2"/>
      <c r="W35" s="2"/>
      <c r="X35" s="2"/>
      <c r="Y35" s="2"/>
    </row>
    <row r="36" spans="1:28" ht="35.25" customHeight="1">
      <c r="A36" s="2" t="s">
        <v>20</v>
      </c>
      <c r="B36" s="2" t="s">
        <v>345</v>
      </c>
      <c r="C36" s="4" t="s">
        <v>327</v>
      </c>
      <c r="D36" s="6" t="s">
        <v>346</v>
      </c>
      <c r="E36" s="6" t="s">
        <v>347</v>
      </c>
      <c r="F36" s="6" t="s">
        <v>348</v>
      </c>
      <c r="G36" s="41" t="s">
        <v>349</v>
      </c>
      <c r="H36" s="2">
        <v>5</v>
      </c>
      <c r="I36" s="2">
        <v>1</v>
      </c>
      <c r="J36" s="1">
        <v>5</v>
      </c>
      <c r="K36" s="1" t="s">
        <v>350</v>
      </c>
      <c r="L36" s="1">
        <v>5</v>
      </c>
      <c r="M36" s="1" t="s">
        <v>351</v>
      </c>
      <c r="N36" s="1">
        <v>5</v>
      </c>
      <c r="O36" s="1" t="s">
        <v>51</v>
      </c>
      <c r="P36" s="1" t="s">
        <v>52</v>
      </c>
      <c r="Q36" s="1">
        <v>5</v>
      </c>
      <c r="R36" s="1" t="s">
        <v>352</v>
      </c>
      <c r="S36" s="1" t="s">
        <v>32</v>
      </c>
      <c r="T36" s="1" t="s">
        <v>353</v>
      </c>
      <c r="U36" s="2"/>
      <c r="V36" s="2"/>
      <c r="W36" s="2"/>
      <c r="X36" s="2"/>
      <c r="Y36" s="2"/>
    </row>
    <row r="37" spans="1:28" ht="35.25" customHeight="1">
      <c r="A37" s="2" t="s">
        <v>20</v>
      </c>
      <c r="B37" s="2" t="s">
        <v>354</v>
      </c>
      <c r="C37" s="4" t="s">
        <v>327</v>
      </c>
      <c r="D37" s="6" t="s">
        <v>355</v>
      </c>
      <c r="E37" s="6" t="s">
        <v>356</v>
      </c>
      <c r="F37" s="6" t="s">
        <v>357</v>
      </c>
      <c r="G37" s="41" t="s">
        <v>358</v>
      </c>
      <c r="H37" s="2">
        <v>3</v>
      </c>
      <c r="I37" s="2">
        <v>1</v>
      </c>
      <c r="J37" s="1">
        <v>5</v>
      </c>
      <c r="K37" s="1" t="s">
        <v>359</v>
      </c>
      <c r="L37" s="1">
        <v>3</v>
      </c>
      <c r="M37" s="1" t="s">
        <v>360</v>
      </c>
      <c r="N37" s="1">
        <v>5</v>
      </c>
      <c r="O37" s="1" t="s">
        <v>51</v>
      </c>
      <c r="P37" s="1" t="s">
        <v>52</v>
      </c>
      <c r="Q37" s="1">
        <v>5</v>
      </c>
      <c r="R37" s="1" t="s">
        <v>361</v>
      </c>
      <c r="S37" s="1" t="s">
        <v>32</v>
      </c>
      <c r="T37" s="1" t="s">
        <v>362</v>
      </c>
      <c r="U37" s="2"/>
      <c r="V37" s="2"/>
      <c r="W37" s="2"/>
      <c r="X37" s="2"/>
      <c r="Y37" s="2"/>
    </row>
    <row r="38" spans="1:28" ht="35.25" customHeight="1">
      <c r="A38" s="2" t="s">
        <v>20</v>
      </c>
      <c r="B38" s="2" t="s">
        <v>363</v>
      </c>
      <c r="C38" s="4" t="s">
        <v>327</v>
      </c>
      <c r="D38" s="6" t="s">
        <v>364</v>
      </c>
      <c r="E38" s="6" t="s">
        <v>365</v>
      </c>
      <c r="F38" s="6" t="s">
        <v>366</v>
      </c>
      <c r="G38" s="41" t="s">
        <v>367</v>
      </c>
      <c r="H38" s="2">
        <v>5</v>
      </c>
      <c r="I38" s="2">
        <v>1</v>
      </c>
      <c r="J38" s="1">
        <v>5</v>
      </c>
      <c r="K38" s="1" t="s">
        <v>368</v>
      </c>
      <c r="L38" s="1">
        <v>5</v>
      </c>
      <c r="M38" s="1" t="s">
        <v>369</v>
      </c>
      <c r="N38" s="1">
        <v>5</v>
      </c>
      <c r="O38" s="1" t="s">
        <v>62</v>
      </c>
      <c r="P38" s="1" t="s">
        <v>52</v>
      </c>
      <c r="Q38" s="1">
        <v>5</v>
      </c>
      <c r="R38" s="1" t="s">
        <v>370</v>
      </c>
      <c r="S38" s="1" t="s">
        <v>32</v>
      </c>
      <c r="T38" s="1" t="s">
        <v>43</v>
      </c>
      <c r="U38" s="2"/>
      <c r="V38" s="2"/>
      <c r="W38" s="2"/>
      <c r="X38" s="2"/>
      <c r="Y38" s="2"/>
    </row>
    <row r="39" spans="1:28" ht="35.25" customHeight="1">
      <c r="A39" s="2" t="s">
        <v>20</v>
      </c>
      <c r="B39" s="2" t="s">
        <v>371</v>
      </c>
      <c r="C39" s="4" t="s">
        <v>327</v>
      </c>
      <c r="D39" s="6" t="s">
        <v>372</v>
      </c>
      <c r="E39" s="6" t="s">
        <v>373</v>
      </c>
      <c r="F39" s="6" t="s">
        <v>374</v>
      </c>
      <c r="G39" s="41" t="s">
        <v>375</v>
      </c>
      <c r="H39" s="2">
        <v>5</v>
      </c>
      <c r="I39" s="2">
        <v>1</v>
      </c>
      <c r="J39" s="1">
        <v>5</v>
      </c>
      <c r="K39" s="1" t="s">
        <v>376</v>
      </c>
      <c r="L39" s="1">
        <v>5</v>
      </c>
      <c r="M39" s="1" t="s">
        <v>377</v>
      </c>
      <c r="N39" s="1">
        <v>5</v>
      </c>
      <c r="O39" s="1" t="s">
        <v>378</v>
      </c>
      <c r="P39" s="1" t="s">
        <v>52</v>
      </c>
      <c r="Q39" s="1">
        <v>5</v>
      </c>
      <c r="R39" s="1" t="s">
        <v>379</v>
      </c>
      <c r="S39" s="1" t="s">
        <v>32</v>
      </c>
      <c r="T39" s="1" t="s">
        <v>380</v>
      </c>
      <c r="U39" s="2"/>
      <c r="V39" s="2"/>
      <c r="W39" s="2"/>
      <c r="X39" s="2"/>
      <c r="Y39" s="2"/>
    </row>
    <row r="40" spans="1:28" ht="35.25" customHeight="1">
      <c r="A40" s="2" t="s">
        <v>20</v>
      </c>
      <c r="B40" s="2" t="s">
        <v>381</v>
      </c>
      <c r="C40" s="2" t="s">
        <v>382</v>
      </c>
      <c r="D40" s="6" t="s">
        <v>383</v>
      </c>
      <c r="E40" s="6" t="s">
        <v>384</v>
      </c>
      <c r="F40" s="6" t="s">
        <v>385</v>
      </c>
      <c r="G40" s="41" t="s">
        <v>386</v>
      </c>
      <c r="H40" s="2">
        <v>5</v>
      </c>
      <c r="I40" s="2">
        <v>1</v>
      </c>
      <c r="J40" s="1">
        <v>5</v>
      </c>
      <c r="K40" s="1" t="s">
        <v>387</v>
      </c>
      <c r="L40" s="1">
        <v>5</v>
      </c>
      <c r="M40" s="1" t="s">
        <v>388</v>
      </c>
      <c r="N40" s="1">
        <v>5</v>
      </c>
      <c r="O40" s="1" t="s">
        <v>62</v>
      </c>
      <c r="P40" s="1" t="s">
        <v>52</v>
      </c>
      <c r="Q40" s="1">
        <v>5</v>
      </c>
      <c r="R40" s="1" t="s">
        <v>389</v>
      </c>
      <c r="S40" s="1" t="s">
        <v>32</v>
      </c>
      <c r="T40" s="1" t="s">
        <v>92</v>
      </c>
      <c r="U40" s="2"/>
      <c r="V40" s="2"/>
      <c r="W40" s="2"/>
      <c r="X40" s="2"/>
      <c r="Y40" s="2"/>
      <c r="Z40" s="2"/>
      <c r="AA40" s="2"/>
      <c r="AB40" s="2"/>
    </row>
    <row r="41" spans="1:28" ht="35.25" customHeight="1">
      <c r="A41" s="2" t="s">
        <v>20</v>
      </c>
      <c r="B41" s="2" t="s">
        <v>390</v>
      </c>
      <c r="C41" s="2" t="s">
        <v>382</v>
      </c>
      <c r="D41" s="6" t="s">
        <v>391</v>
      </c>
      <c r="E41" s="6" t="s">
        <v>392</v>
      </c>
      <c r="F41" s="6" t="s">
        <v>393</v>
      </c>
      <c r="G41" s="41" t="s">
        <v>394</v>
      </c>
      <c r="H41" s="2">
        <v>3</v>
      </c>
      <c r="I41" s="2">
        <v>1</v>
      </c>
      <c r="J41" s="1">
        <v>5</v>
      </c>
      <c r="K41" s="1" t="s">
        <v>395</v>
      </c>
      <c r="L41" s="1">
        <v>3</v>
      </c>
      <c r="M41" s="1" t="s">
        <v>396</v>
      </c>
      <c r="N41" s="1">
        <v>5</v>
      </c>
      <c r="O41" s="1" t="s">
        <v>81</v>
      </c>
      <c r="P41" s="1" t="s">
        <v>52</v>
      </c>
      <c r="Q41" s="1">
        <v>3</v>
      </c>
      <c r="R41" s="1" t="s">
        <v>397</v>
      </c>
      <c r="S41" s="1" t="s">
        <v>32</v>
      </c>
      <c r="T41" s="1" t="s">
        <v>398</v>
      </c>
      <c r="U41" s="2"/>
      <c r="V41" s="2"/>
      <c r="W41" s="2"/>
      <c r="X41" s="2"/>
      <c r="Y41" s="2"/>
      <c r="Z41" s="2"/>
      <c r="AA41" s="2"/>
      <c r="AB41" s="2"/>
    </row>
    <row r="42" spans="1:28" ht="35.25" customHeight="1">
      <c r="A42" s="1" t="s">
        <v>399</v>
      </c>
      <c r="B42" s="2" t="s">
        <v>400</v>
      </c>
      <c r="C42" s="2" t="s">
        <v>401</v>
      </c>
      <c r="D42" s="3" t="s">
        <v>402</v>
      </c>
      <c r="E42" s="3" t="s">
        <v>403</v>
      </c>
      <c r="F42" s="3" t="s">
        <v>404</v>
      </c>
      <c r="G42" s="41" t="s">
        <v>405</v>
      </c>
      <c r="H42" s="2">
        <v>3</v>
      </c>
      <c r="I42" s="2">
        <v>1</v>
      </c>
      <c r="J42" s="1">
        <v>5</v>
      </c>
      <c r="K42" s="1" t="s">
        <v>406</v>
      </c>
      <c r="L42" s="1">
        <v>3</v>
      </c>
      <c r="M42" s="1" t="s">
        <v>407</v>
      </c>
      <c r="N42" s="1">
        <v>5</v>
      </c>
      <c r="O42" s="1" t="s">
        <v>62</v>
      </c>
      <c r="P42" s="1" t="s">
        <v>52</v>
      </c>
      <c r="Q42" s="1">
        <v>5</v>
      </c>
      <c r="R42" s="1" t="s">
        <v>408</v>
      </c>
      <c r="S42" s="1" t="s">
        <v>32</v>
      </c>
      <c r="T42" s="1" t="s">
        <v>409</v>
      </c>
      <c r="U42" s="2"/>
      <c r="V42" s="2"/>
      <c r="W42" s="2"/>
      <c r="X42" s="2"/>
      <c r="Y42" s="2"/>
      <c r="Z42" s="2"/>
    </row>
    <row r="43" spans="1:28" ht="35.25" customHeight="1">
      <c r="A43" s="1" t="s">
        <v>399</v>
      </c>
      <c r="B43" s="2" t="s">
        <v>410</v>
      </c>
      <c r="C43" s="2" t="s">
        <v>401</v>
      </c>
      <c r="D43" s="3" t="s">
        <v>411</v>
      </c>
      <c r="E43" s="3" t="s">
        <v>412</v>
      </c>
      <c r="F43" s="3" t="s">
        <v>413</v>
      </c>
      <c r="G43" s="41" t="s">
        <v>414</v>
      </c>
      <c r="H43" s="2">
        <v>3</v>
      </c>
      <c r="I43" s="2">
        <v>1</v>
      </c>
      <c r="J43" s="1">
        <v>5</v>
      </c>
      <c r="K43" s="1" t="s">
        <v>415</v>
      </c>
      <c r="L43" s="1">
        <v>3</v>
      </c>
      <c r="M43" s="1" t="s">
        <v>416</v>
      </c>
      <c r="N43" s="1">
        <v>5</v>
      </c>
      <c r="O43" s="1" t="s">
        <v>417</v>
      </c>
      <c r="P43" s="1" t="s">
        <v>418</v>
      </c>
      <c r="Q43" s="1">
        <v>5</v>
      </c>
      <c r="R43" s="1" t="s">
        <v>419</v>
      </c>
      <c r="S43" s="1" t="s">
        <v>32</v>
      </c>
      <c r="T43" s="1" t="s">
        <v>420</v>
      </c>
      <c r="U43" s="2"/>
      <c r="V43" s="2"/>
      <c r="W43" s="2"/>
      <c r="X43" s="2"/>
      <c r="Y43" s="2"/>
      <c r="Z43" s="2"/>
    </row>
    <row r="44" spans="1:28" ht="35.25" customHeight="1">
      <c r="A44" s="1" t="s">
        <v>399</v>
      </c>
      <c r="B44" s="2" t="s">
        <v>421</v>
      </c>
      <c r="C44" s="2" t="s">
        <v>401</v>
      </c>
      <c r="D44" s="3" t="s">
        <v>422</v>
      </c>
      <c r="E44" s="3" t="s">
        <v>423</v>
      </c>
      <c r="F44" s="3" t="s">
        <v>424</v>
      </c>
      <c r="G44" s="41" t="s">
        <v>425</v>
      </c>
      <c r="H44" s="2">
        <v>5</v>
      </c>
      <c r="I44" s="2">
        <v>1</v>
      </c>
      <c r="J44" s="1">
        <v>5</v>
      </c>
      <c r="K44" s="1" t="s">
        <v>426</v>
      </c>
      <c r="L44" s="1">
        <v>5</v>
      </c>
      <c r="M44" s="1" t="s">
        <v>427</v>
      </c>
      <c r="N44" s="1">
        <v>5</v>
      </c>
      <c r="O44" s="1" t="s">
        <v>428</v>
      </c>
      <c r="P44" s="1" t="s">
        <v>52</v>
      </c>
      <c r="Q44" s="1">
        <v>3</v>
      </c>
      <c r="R44" s="1" t="s">
        <v>429</v>
      </c>
      <c r="S44" s="1" t="s">
        <v>32</v>
      </c>
      <c r="T44" s="1" t="s">
        <v>430</v>
      </c>
      <c r="U44" s="2"/>
      <c r="V44" s="2"/>
      <c r="W44" s="2"/>
      <c r="X44" s="2"/>
      <c r="Y44" s="2"/>
      <c r="Z44" s="2"/>
    </row>
    <row r="45" spans="1:28" ht="35.25" customHeight="1">
      <c r="A45" s="1" t="s">
        <v>399</v>
      </c>
      <c r="B45" s="2" t="s">
        <v>431</v>
      </c>
      <c r="C45" s="2" t="s">
        <v>401</v>
      </c>
      <c r="D45" s="3" t="s">
        <v>432</v>
      </c>
      <c r="E45" s="3" t="s">
        <v>433</v>
      </c>
      <c r="F45" s="3" t="s">
        <v>434</v>
      </c>
      <c r="G45" s="41" t="s">
        <v>435</v>
      </c>
      <c r="H45" s="2">
        <v>1</v>
      </c>
      <c r="I45" s="2">
        <v>0</v>
      </c>
      <c r="J45" s="1">
        <v>1</v>
      </c>
      <c r="K45" s="1" t="s">
        <v>436</v>
      </c>
      <c r="L45" s="1">
        <v>2</v>
      </c>
      <c r="M45" s="1" t="s">
        <v>437</v>
      </c>
      <c r="N45" s="1">
        <v>5</v>
      </c>
      <c r="O45" s="1" t="s">
        <v>62</v>
      </c>
      <c r="P45" s="1" t="s">
        <v>52</v>
      </c>
      <c r="Q45" s="1">
        <v>5</v>
      </c>
      <c r="R45" s="1" t="s">
        <v>438</v>
      </c>
      <c r="S45" s="1" t="s">
        <v>243</v>
      </c>
      <c r="T45" s="1" t="s">
        <v>439</v>
      </c>
      <c r="U45" s="2"/>
      <c r="V45" s="2"/>
      <c r="W45" s="2"/>
      <c r="X45" s="2"/>
      <c r="Y45" s="2"/>
      <c r="Z45" s="2"/>
    </row>
    <row r="46" spans="1:28" ht="35.25" customHeight="1">
      <c r="A46" s="1" t="s">
        <v>399</v>
      </c>
      <c r="B46" s="2" t="s">
        <v>440</v>
      </c>
      <c r="C46" s="2" t="s">
        <v>401</v>
      </c>
      <c r="D46" s="3" t="s">
        <v>441</v>
      </c>
      <c r="E46" s="3" t="s">
        <v>442</v>
      </c>
      <c r="F46" s="3" t="s">
        <v>443</v>
      </c>
      <c r="G46" s="41" t="s">
        <v>444</v>
      </c>
      <c r="H46" s="2">
        <v>3</v>
      </c>
      <c r="I46" s="2">
        <v>1</v>
      </c>
      <c r="J46" s="1">
        <v>5</v>
      </c>
      <c r="K46" s="1" t="s">
        <v>445</v>
      </c>
      <c r="L46" s="1">
        <v>3</v>
      </c>
      <c r="M46" s="1" t="s">
        <v>446</v>
      </c>
      <c r="N46" s="1">
        <v>5</v>
      </c>
      <c r="O46" s="1" t="s">
        <v>62</v>
      </c>
      <c r="P46" s="1" t="s">
        <v>52</v>
      </c>
      <c r="Q46" s="1">
        <v>3</v>
      </c>
      <c r="R46" s="1" t="s">
        <v>447</v>
      </c>
      <c r="S46" s="1" t="s">
        <v>32</v>
      </c>
      <c r="T46" s="1" t="s">
        <v>448</v>
      </c>
      <c r="U46" s="2"/>
      <c r="V46" s="2"/>
      <c r="W46" s="2"/>
      <c r="X46" s="2"/>
      <c r="Y46" s="2"/>
      <c r="Z46" s="2"/>
    </row>
    <row r="47" spans="1:28" ht="35.25" customHeight="1">
      <c r="A47" s="1" t="s">
        <v>399</v>
      </c>
      <c r="B47" s="2" t="s">
        <v>449</v>
      </c>
      <c r="C47" s="2" t="s">
        <v>401</v>
      </c>
      <c r="D47" s="3" t="s">
        <v>450</v>
      </c>
      <c r="E47" s="3" t="s">
        <v>451</v>
      </c>
      <c r="F47" s="3" t="s">
        <v>452</v>
      </c>
      <c r="G47" s="41" t="s">
        <v>453</v>
      </c>
      <c r="H47" s="2">
        <v>3</v>
      </c>
      <c r="I47" s="2">
        <v>1</v>
      </c>
      <c r="J47" s="1">
        <v>3</v>
      </c>
      <c r="K47" s="1" t="s">
        <v>454</v>
      </c>
      <c r="L47" s="1">
        <v>3</v>
      </c>
      <c r="M47" s="1" t="s">
        <v>455</v>
      </c>
      <c r="N47" s="1">
        <v>5</v>
      </c>
      <c r="O47" s="1" t="s">
        <v>51</v>
      </c>
      <c r="P47" s="1" t="s">
        <v>52</v>
      </c>
      <c r="Q47" s="1">
        <v>3</v>
      </c>
      <c r="R47" s="1" t="s">
        <v>456</v>
      </c>
      <c r="S47" s="1" t="s">
        <v>32</v>
      </c>
      <c r="T47" s="1" t="s">
        <v>457</v>
      </c>
      <c r="U47" s="2"/>
      <c r="V47" s="2"/>
      <c r="W47" s="2"/>
      <c r="X47" s="2"/>
      <c r="Y47" s="2"/>
      <c r="Z47" s="2"/>
    </row>
    <row r="48" spans="1:28" ht="35.25" customHeight="1">
      <c r="A48" s="1" t="s">
        <v>399</v>
      </c>
      <c r="B48" s="2" t="s">
        <v>458</v>
      </c>
      <c r="C48" s="2" t="s">
        <v>401</v>
      </c>
      <c r="D48" s="3" t="s">
        <v>459</v>
      </c>
      <c r="E48" s="3" t="s">
        <v>460</v>
      </c>
      <c r="F48" s="3" t="s">
        <v>461</v>
      </c>
      <c r="G48" s="41" t="s">
        <v>462</v>
      </c>
      <c r="H48" s="2">
        <v>3</v>
      </c>
      <c r="I48" s="2">
        <v>1</v>
      </c>
      <c r="J48" s="1">
        <v>5</v>
      </c>
      <c r="K48" s="1" t="s">
        <v>463</v>
      </c>
      <c r="L48" s="1">
        <v>3</v>
      </c>
      <c r="M48" s="1" t="s">
        <v>464</v>
      </c>
      <c r="N48" s="1">
        <v>5</v>
      </c>
      <c r="O48" s="1" t="s">
        <v>51</v>
      </c>
      <c r="P48" s="1" t="s">
        <v>52</v>
      </c>
      <c r="Q48" s="1">
        <v>5</v>
      </c>
      <c r="R48" s="1" t="s">
        <v>465</v>
      </c>
      <c r="S48" s="1" t="s">
        <v>32</v>
      </c>
      <c r="T48" s="1" t="s">
        <v>466</v>
      </c>
      <c r="U48" s="2"/>
      <c r="V48" s="2"/>
      <c r="W48" s="2"/>
      <c r="X48" s="2"/>
      <c r="Y48" s="2"/>
      <c r="Z48" s="2"/>
    </row>
    <row r="49" spans="1:26" ht="35.25" customHeight="1">
      <c r="A49" s="1" t="s">
        <v>399</v>
      </c>
      <c r="B49" s="2" t="s">
        <v>467</v>
      </c>
      <c r="C49" s="2" t="s">
        <v>401</v>
      </c>
      <c r="D49" s="3" t="s">
        <v>468</v>
      </c>
      <c r="E49" s="3" t="s">
        <v>469</v>
      </c>
      <c r="F49" s="3" t="s">
        <v>470</v>
      </c>
      <c r="G49" s="41" t="s">
        <v>471</v>
      </c>
      <c r="H49" s="2">
        <v>3</v>
      </c>
      <c r="I49" s="2">
        <v>1</v>
      </c>
      <c r="J49" s="1">
        <v>5</v>
      </c>
      <c r="K49" s="1" t="s">
        <v>472</v>
      </c>
      <c r="L49" s="1">
        <v>3</v>
      </c>
      <c r="M49" s="1" t="s">
        <v>473</v>
      </c>
      <c r="N49" s="1">
        <v>5</v>
      </c>
      <c r="O49" s="1" t="s">
        <v>62</v>
      </c>
      <c r="P49" s="1" t="s">
        <v>52</v>
      </c>
      <c r="Q49" s="1">
        <v>5</v>
      </c>
      <c r="R49" s="1" t="s">
        <v>474</v>
      </c>
      <c r="S49" s="1" t="s">
        <v>32</v>
      </c>
      <c r="T49" s="1" t="s">
        <v>92</v>
      </c>
      <c r="U49" s="2"/>
      <c r="V49" s="2"/>
      <c r="W49" s="2"/>
      <c r="X49" s="2"/>
      <c r="Y49" s="2"/>
      <c r="Z49" s="2"/>
    </row>
    <row r="50" spans="1:26" ht="35.25" customHeight="1">
      <c r="A50" s="1" t="s">
        <v>399</v>
      </c>
      <c r="B50" s="2" t="s">
        <v>475</v>
      </c>
      <c r="C50" s="2" t="s">
        <v>401</v>
      </c>
      <c r="D50" s="3" t="s">
        <v>476</v>
      </c>
      <c r="E50" s="3" t="s">
        <v>477</v>
      </c>
      <c r="F50" s="3" t="s">
        <v>478</v>
      </c>
      <c r="G50" s="41" t="s">
        <v>479</v>
      </c>
      <c r="H50" s="2">
        <v>3</v>
      </c>
      <c r="I50" s="2">
        <v>1</v>
      </c>
      <c r="J50" s="1">
        <v>5</v>
      </c>
      <c r="K50" s="1" t="s">
        <v>480</v>
      </c>
      <c r="L50" s="1">
        <v>3</v>
      </c>
      <c r="M50" s="1" t="s">
        <v>481</v>
      </c>
      <c r="N50" s="1">
        <v>5</v>
      </c>
      <c r="O50" s="1" t="s">
        <v>62</v>
      </c>
      <c r="P50" s="1" t="s">
        <v>52</v>
      </c>
      <c r="Q50" s="1">
        <v>5</v>
      </c>
      <c r="R50" s="1" t="s">
        <v>482</v>
      </c>
      <c r="S50" s="1" t="s">
        <v>32</v>
      </c>
      <c r="T50" s="1" t="s">
        <v>483</v>
      </c>
      <c r="U50" s="2"/>
      <c r="V50" s="2"/>
      <c r="W50" s="2"/>
      <c r="X50" s="2"/>
      <c r="Y50" s="2"/>
      <c r="Z50" s="2"/>
    </row>
    <row r="51" spans="1:26" ht="35.25" customHeight="1">
      <c r="A51" s="1" t="s">
        <v>399</v>
      </c>
      <c r="B51" s="2" t="s">
        <v>484</v>
      </c>
      <c r="C51" s="2" t="s">
        <v>401</v>
      </c>
      <c r="D51" s="3" t="s">
        <v>485</v>
      </c>
      <c r="E51" s="3" t="s">
        <v>486</v>
      </c>
      <c r="F51" s="3" t="s">
        <v>487</v>
      </c>
      <c r="G51" s="41" t="s">
        <v>488</v>
      </c>
      <c r="H51" s="2">
        <v>5</v>
      </c>
      <c r="I51" s="2">
        <v>1</v>
      </c>
      <c r="J51" s="1">
        <v>5</v>
      </c>
      <c r="K51" s="1" t="s">
        <v>489</v>
      </c>
      <c r="L51" s="1">
        <v>5</v>
      </c>
      <c r="M51" s="1" t="s">
        <v>490</v>
      </c>
      <c r="N51" s="1">
        <v>5</v>
      </c>
      <c r="O51" s="1" t="s">
        <v>491</v>
      </c>
      <c r="P51" s="1" t="s">
        <v>52</v>
      </c>
      <c r="Q51" s="1">
        <v>5</v>
      </c>
      <c r="R51" s="1" t="s">
        <v>492</v>
      </c>
      <c r="S51" s="1" t="s">
        <v>32</v>
      </c>
      <c r="T51" s="1" t="s">
        <v>43</v>
      </c>
      <c r="U51" s="2"/>
      <c r="V51" s="2"/>
      <c r="W51" s="2"/>
      <c r="X51" s="2"/>
      <c r="Y51" s="2"/>
      <c r="Z51" s="2"/>
    </row>
    <row r="52" spans="1:26" ht="35.25" customHeight="1">
      <c r="A52" s="1" t="s">
        <v>399</v>
      </c>
      <c r="B52" s="2" t="s">
        <v>493</v>
      </c>
      <c r="C52" s="2" t="s">
        <v>494</v>
      </c>
      <c r="D52" s="3" t="s">
        <v>495</v>
      </c>
      <c r="E52" s="3" t="s">
        <v>496</v>
      </c>
      <c r="F52" s="3" t="s">
        <v>497</v>
      </c>
      <c r="G52" s="41" t="s">
        <v>498</v>
      </c>
      <c r="H52" s="2">
        <v>5</v>
      </c>
      <c r="I52" s="2">
        <v>1</v>
      </c>
      <c r="J52" s="1">
        <v>5</v>
      </c>
      <c r="K52" s="1" t="s">
        <v>499</v>
      </c>
      <c r="L52" s="1">
        <v>5</v>
      </c>
      <c r="M52" s="1" t="s">
        <v>500</v>
      </c>
      <c r="N52" s="1">
        <v>5</v>
      </c>
      <c r="O52" s="1" t="s">
        <v>501</v>
      </c>
      <c r="P52" s="1" t="s">
        <v>52</v>
      </c>
      <c r="Q52" s="1">
        <v>5</v>
      </c>
      <c r="R52" s="1" t="s">
        <v>502</v>
      </c>
      <c r="S52" s="1" t="s">
        <v>32</v>
      </c>
      <c r="T52" s="1" t="s">
        <v>503</v>
      </c>
      <c r="U52" s="2"/>
      <c r="V52" s="2"/>
      <c r="W52" s="2"/>
      <c r="X52" s="2"/>
      <c r="Y52" s="2"/>
      <c r="Z52" s="2"/>
    </row>
    <row r="53" spans="1:26" ht="35.25" customHeight="1">
      <c r="A53" s="1" t="s">
        <v>399</v>
      </c>
      <c r="B53" s="2" t="s">
        <v>504</v>
      </c>
      <c r="C53" s="2" t="s">
        <v>494</v>
      </c>
      <c r="D53" s="3" t="s">
        <v>505</v>
      </c>
      <c r="E53" s="3" t="s">
        <v>506</v>
      </c>
      <c r="F53" s="3" t="s">
        <v>507</v>
      </c>
      <c r="G53" s="41" t="s">
        <v>508</v>
      </c>
      <c r="H53" s="2">
        <v>3</v>
      </c>
      <c r="I53" s="2">
        <v>1</v>
      </c>
      <c r="J53" s="1">
        <v>5</v>
      </c>
      <c r="K53" s="1" t="s">
        <v>509</v>
      </c>
      <c r="L53" s="1">
        <v>3</v>
      </c>
      <c r="M53" s="1" t="s">
        <v>510</v>
      </c>
      <c r="N53" s="1">
        <v>5</v>
      </c>
      <c r="O53" s="1" t="s">
        <v>110</v>
      </c>
      <c r="P53" s="1" t="s">
        <v>52</v>
      </c>
      <c r="Q53" s="1">
        <v>5</v>
      </c>
      <c r="R53" s="1" t="s">
        <v>511</v>
      </c>
      <c r="S53" s="1" t="s">
        <v>32</v>
      </c>
      <c r="T53" s="1" t="s">
        <v>512</v>
      </c>
      <c r="U53" s="2"/>
      <c r="V53" s="2"/>
      <c r="W53" s="2"/>
      <c r="X53" s="2"/>
      <c r="Y53" s="2"/>
      <c r="Z53" s="2"/>
    </row>
    <row r="54" spans="1:26" ht="35.25" customHeight="1">
      <c r="A54" s="1" t="s">
        <v>399</v>
      </c>
      <c r="B54" s="2" t="s">
        <v>513</v>
      </c>
      <c r="C54" s="2" t="s">
        <v>494</v>
      </c>
      <c r="D54" s="3" t="s">
        <v>514</v>
      </c>
      <c r="E54" s="3" t="s">
        <v>515</v>
      </c>
      <c r="F54" s="3" t="s">
        <v>516</v>
      </c>
      <c r="G54" s="41" t="s">
        <v>517</v>
      </c>
      <c r="H54" s="2">
        <v>5</v>
      </c>
      <c r="I54" s="2">
        <v>1</v>
      </c>
      <c r="J54" s="1">
        <v>5</v>
      </c>
      <c r="K54" s="1" t="s">
        <v>518</v>
      </c>
      <c r="L54" s="1">
        <v>5</v>
      </c>
      <c r="M54" s="1" t="s">
        <v>519</v>
      </c>
      <c r="N54" s="1">
        <v>5</v>
      </c>
      <c r="O54" s="1" t="s">
        <v>520</v>
      </c>
      <c r="P54" s="1" t="s">
        <v>52</v>
      </c>
      <c r="Q54" s="1">
        <v>5</v>
      </c>
      <c r="R54" s="1" t="s">
        <v>521</v>
      </c>
      <c r="S54" s="1" t="s">
        <v>32</v>
      </c>
      <c r="T54" s="1" t="s">
        <v>522</v>
      </c>
      <c r="U54" s="2"/>
      <c r="V54" s="2"/>
      <c r="W54" s="2"/>
      <c r="X54" s="2"/>
      <c r="Y54" s="2"/>
      <c r="Z54" s="2"/>
    </row>
    <row r="55" spans="1:26" ht="35.25" customHeight="1">
      <c r="A55" s="1" t="s">
        <v>399</v>
      </c>
      <c r="B55" s="2" t="s">
        <v>523</v>
      </c>
      <c r="C55" s="2" t="s">
        <v>494</v>
      </c>
      <c r="D55" s="3" t="s">
        <v>524</v>
      </c>
      <c r="E55" s="3" t="s">
        <v>525</v>
      </c>
      <c r="F55" s="3" t="s">
        <v>526</v>
      </c>
      <c r="G55" s="41" t="s">
        <v>527</v>
      </c>
      <c r="H55" s="2">
        <v>5</v>
      </c>
      <c r="I55" s="2">
        <v>1</v>
      </c>
      <c r="J55" s="1">
        <v>5</v>
      </c>
      <c r="K55" s="1" t="s">
        <v>528</v>
      </c>
      <c r="L55" s="1">
        <v>5</v>
      </c>
      <c r="M55" s="1" t="s">
        <v>529</v>
      </c>
      <c r="N55" s="1">
        <v>5</v>
      </c>
      <c r="O55" s="1" t="s">
        <v>62</v>
      </c>
      <c r="P55" s="1" t="s">
        <v>52</v>
      </c>
      <c r="Q55" s="1">
        <v>5</v>
      </c>
      <c r="R55" s="1" t="s">
        <v>530</v>
      </c>
      <c r="S55" s="1" t="s">
        <v>32</v>
      </c>
      <c r="T55" s="1" t="s">
        <v>531</v>
      </c>
      <c r="U55" s="2"/>
      <c r="V55" s="2"/>
      <c r="W55" s="2"/>
      <c r="X55" s="2"/>
      <c r="Y55" s="2"/>
      <c r="Z55" s="2"/>
    </row>
    <row r="56" spans="1:26" ht="35.25" customHeight="1">
      <c r="A56" s="1" t="s">
        <v>399</v>
      </c>
      <c r="B56" s="2" t="s">
        <v>532</v>
      </c>
      <c r="C56" s="2" t="s">
        <v>494</v>
      </c>
      <c r="D56" s="3" t="s">
        <v>533</v>
      </c>
      <c r="E56" s="3" t="s">
        <v>534</v>
      </c>
      <c r="F56" s="3" t="s">
        <v>535</v>
      </c>
      <c r="G56" s="41" t="s">
        <v>536</v>
      </c>
      <c r="H56" s="2">
        <v>3</v>
      </c>
      <c r="I56" s="2">
        <v>1</v>
      </c>
      <c r="J56" s="1">
        <v>5</v>
      </c>
      <c r="K56" s="1" t="s">
        <v>537</v>
      </c>
      <c r="L56" s="1">
        <v>3</v>
      </c>
      <c r="M56" s="1" t="s">
        <v>538</v>
      </c>
      <c r="N56" s="1">
        <v>5</v>
      </c>
      <c r="O56" s="1" t="s">
        <v>62</v>
      </c>
      <c r="P56" s="1" t="s">
        <v>52</v>
      </c>
      <c r="Q56" s="1">
        <v>5</v>
      </c>
      <c r="R56" s="1" t="s">
        <v>539</v>
      </c>
      <c r="S56" s="1" t="s">
        <v>32</v>
      </c>
      <c r="T56" s="1" t="s">
        <v>540</v>
      </c>
      <c r="U56" s="2"/>
      <c r="V56" s="2"/>
      <c r="W56" s="2"/>
      <c r="X56" s="2"/>
      <c r="Y56" s="2"/>
      <c r="Z56" s="2"/>
    </row>
    <row r="57" spans="1:26" ht="35.25" customHeight="1">
      <c r="A57" s="1" t="s">
        <v>399</v>
      </c>
      <c r="B57" s="2" t="s">
        <v>541</v>
      </c>
      <c r="C57" s="2" t="s">
        <v>494</v>
      </c>
      <c r="D57" s="3" t="s">
        <v>542</v>
      </c>
      <c r="E57" s="3" t="s">
        <v>543</v>
      </c>
      <c r="F57" s="3" t="s">
        <v>544</v>
      </c>
      <c r="G57" s="41" t="s">
        <v>545</v>
      </c>
      <c r="H57" s="2">
        <v>3</v>
      </c>
      <c r="I57" s="2">
        <v>1</v>
      </c>
      <c r="J57" s="1">
        <v>5</v>
      </c>
      <c r="K57" s="1" t="s">
        <v>546</v>
      </c>
      <c r="L57" s="1">
        <v>3</v>
      </c>
      <c r="M57" s="1" t="s">
        <v>547</v>
      </c>
      <c r="N57" s="1">
        <v>5</v>
      </c>
      <c r="O57" s="1" t="s">
        <v>548</v>
      </c>
      <c r="P57" s="1" t="s">
        <v>52</v>
      </c>
      <c r="Q57" s="1">
        <v>5</v>
      </c>
      <c r="R57" s="1" t="s">
        <v>549</v>
      </c>
      <c r="S57" s="1" t="s">
        <v>32</v>
      </c>
      <c r="T57" s="1" t="s">
        <v>550</v>
      </c>
      <c r="U57" s="2"/>
      <c r="V57" s="2"/>
      <c r="W57" s="2"/>
      <c r="X57" s="2"/>
      <c r="Y57" s="2"/>
      <c r="Z57" s="2"/>
    </row>
    <row r="58" spans="1:26" ht="35.25" customHeight="1">
      <c r="A58" s="1" t="s">
        <v>399</v>
      </c>
      <c r="B58" s="2" t="s">
        <v>551</v>
      </c>
      <c r="C58" s="2" t="s">
        <v>494</v>
      </c>
      <c r="D58" s="3" t="s">
        <v>552</v>
      </c>
      <c r="E58" s="3" t="s">
        <v>553</v>
      </c>
      <c r="F58" s="3" t="s">
        <v>554</v>
      </c>
      <c r="G58" s="41" t="s">
        <v>555</v>
      </c>
      <c r="H58" s="2">
        <v>3</v>
      </c>
      <c r="I58" s="2">
        <v>1</v>
      </c>
      <c r="J58" s="1">
        <v>5</v>
      </c>
      <c r="K58" s="1" t="s">
        <v>556</v>
      </c>
      <c r="L58" s="1">
        <v>3</v>
      </c>
      <c r="M58" s="1" t="s">
        <v>557</v>
      </c>
      <c r="N58" s="1">
        <v>5</v>
      </c>
      <c r="O58" s="1" t="s">
        <v>51</v>
      </c>
      <c r="P58" s="1" t="s">
        <v>52</v>
      </c>
      <c r="Q58" s="1">
        <v>5</v>
      </c>
      <c r="R58" s="1" t="s">
        <v>558</v>
      </c>
      <c r="S58" s="1" t="s">
        <v>32</v>
      </c>
      <c r="T58" s="1" t="s">
        <v>559</v>
      </c>
      <c r="U58" s="2"/>
      <c r="V58" s="2"/>
      <c r="W58" s="2"/>
      <c r="X58" s="2"/>
      <c r="Y58" s="2"/>
      <c r="Z58" s="2"/>
    </row>
    <row r="59" spans="1:26" ht="35.25" customHeight="1">
      <c r="A59" s="1" t="s">
        <v>399</v>
      </c>
      <c r="B59" s="2" t="s">
        <v>560</v>
      </c>
      <c r="C59" s="2" t="s">
        <v>494</v>
      </c>
      <c r="D59" s="3" t="s">
        <v>561</v>
      </c>
      <c r="E59" s="3" t="s">
        <v>562</v>
      </c>
      <c r="F59" s="3" t="s">
        <v>563</v>
      </c>
      <c r="G59" s="41" t="s">
        <v>564</v>
      </c>
      <c r="H59" s="2">
        <v>3</v>
      </c>
      <c r="I59" s="2">
        <v>1</v>
      </c>
      <c r="J59" s="1">
        <v>5</v>
      </c>
      <c r="K59" s="1" t="s">
        <v>565</v>
      </c>
      <c r="L59" s="1">
        <v>3</v>
      </c>
      <c r="M59" s="1" t="s">
        <v>566</v>
      </c>
      <c r="N59" s="1">
        <v>5</v>
      </c>
      <c r="O59" s="1" t="s">
        <v>51</v>
      </c>
      <c r="P59" s="1" t="s">
        <v>52</v>
      </c>
      <c r="Q59" s="1">
        <v>5</v>
      </c>
      <c r="R59" s="1" t="s">
        <v>567</v>
      </c>
      <c r="S59" s="1" t="s">
        <v>32</v>
      </c>
      <c r="T59" s="1" t="s">
        <v>568</v>
      </c>
      <c r="U59" s="2"/>
      <c r="V59" s="2"/>
      <c r="W59" s="2"/>
      <c r="X59" s="2"/>
      <c r="Y59" s="2"/>
      <c r="Z59" s="2"/>
    </row>
    <row r="60" spans="1:26" ht="35.25" customHeight="1">
      <c r="A60" s="1" t="s">
        <v>399</v>
      </c>
      <c r="B60" s="2" t="s">
        <v>569</v>
      </c>
      <c r="C60" s="2" t="s">
        <v>494</v>
      </c>
      <c r="D60" s="3" t="s">
        <v>570</v>
      </c>
      <c r="E60" s="3" t="s">
        <v>571</v>
      </c>
      <c r="F60" s="3" t="s">
        <v>572</v>
      </c>
      <c r="G60" s="41" t="s">
        <v>573</v>
      </c>
      <c r="H60" s="2">
        <v>3</v>
      </c>
      <c r="I60" s="2">
        <v>1</v>
      </c>
      <c r="J60" s="1">
        <v>5</v>
      </c>
      <c r="K60" s="1" t="s">
        <v>574</v>
      </c>
      <c r="L60" s="1">
        <v>3</v>
      </c>
      <c r="M60" s="1" t="s">
        <v>575</v>
      </c>
      <c r="N60" s="1">
        <v>5</v>
      </c>
      <c r="O60" s="1" t="s">
        <v>62</v>
      </c>
      <c r="P60" s="1" t="s">
        <v>52</v>
      </c>
      <c r="Q60" s="1">
        <v>5</v>
      </c>
      <c r="R60" s="1" t="s">
        <v>576</v>
      </c>
      <c r="S60" s="1" t="s">
        <v>32</v>
      </c>
      <c r="T60" s="1" t="s">
        <v>577</v>
      </c>
      <c r="U60" s="2"/>
      <c r="V60" s="2"/>
      <c r="W60" s="2"/>
      <c r="X60" s="2"/>
      <c r="Y60" s="2"/>
      <c r="Z60" s="2"/>
    </row>
    <row r="61" spans="1:26" ht="35.25" customHeight="1">
      <c r="A61" s="1" t="s">
        <v>399</v>
      </c>
      <c r="B61" s="2" t="s">
        <v>578</v>
      </c>
      <c r="C61" s="2" t="s">
        <v>494</v>
      </c>
      <c r="D61" s="3" t="s">
        <v>579</v>
      </c>
      <c r="E61" s="3" t="s">
        <v>580</v>
      </c>
      <c r="F61" s="3" t="s">
        <v>581</v>
      </c>
      <c r="G61" s="41" t="s">
        <v>582</v>
      </c>
      <c r="H61" s="2">
        <v>3</v>
      </c>
      <c r="I61" s="2">
        <v>1</v>
      </c>
      <c r="J61" s="1">
        <v>5</v>
      </c>
      <c r="K61" s="1" t="s">
        <v>583</v>
      </c>
      <c r="L61" s="1">
        <v>3</v>
      </c>
      <c r="M61" s="1" t="s">
        <v>584</v>
      </c>
      <c r="N61" s="1">
        <v>5</v>
      </c>
      <c r="O61" s="1" t="s">
        <v>62</v>
      </c>
      <c r="P61" s="1" t="s">
        <v>52</v>
      </c>
      <c r="Q61" s="1">
        <v>5</v>
      </c>
      <c r="R61" s="1" t="s">
        <v>585</v>
      </c>
      <c r="S61" s="1" t="s">
        <v>32</v>
      </c>
      <c r="T61" s="1" t="s">
        <v>586</v>
      </c>
      <c r="U61" s="2"/>
      <c r="V61" s="2"/>
      <c r="W61" s="2"/>
      <c r="X61" s="2"/>
      <c r="Y61" s="2"/>
      <c r="Z61" s="2"/>
    </row>
    <row r="62" spans="1:26" ht="35.25" customHeight="1">
      <c r="A62" s="1" t="s">
        <v>399</v>
      </c>
      <c r="B62" s="2" t="s">
        <v>587</v>
      </c>
      <c r="C62" s="2" t="s">
        <v>588</v>
      </c>
      <c r="D62" s="3" t="s">
        <v>589</v>
      </c>
      <c r="E62" s="3" t="s">
        <v>590</v>
      </c>
      <c r="F62" s="3" t="s">
        <v>591</v>
      </c>
      <c r="G62" s="41" t="s">
        <v>592</v>
      </c>
      <c r="H62" s="2">
        <v>3</v>
      </c>
      <c r="I62" s="2">
        <v>1</v>
      </c>
      <c r="J62" s="1">
        <v>5</v>
      </c>
      <c r="K62" s="1" t="s">
        <v>593</v>
      </c>
      <c r="L62" s="1">
        <v>3</v>
      </c>
      <c r="M62" s="1" t="s">
        <v>594</v>
      </c>
      <c r="N62" s="1">
        <v>5</v>
      </c>
      <c r="O62" s="1" t="s">
        <v>51</v>
      </c>
      <c r="P62" s="1" t="s">
        <v>52</v>
      </c>
      <c r="Q62" s="1">
        <v>5</v>
      </c>
      <c r="R62" s="1" t="s">
        <v>595</v>
      </c>
      <c r="S62" s="1" t="s">
        <v>32</v>
      </c>
      <c r="T62" s="1" t="s">
        <v>596</v>
      </c>
      <c r="U62" s="2"/>
      <c r="V62" s="2"/>
      <c r="W62" s="2"/>
      <c r="X62" s="2"/>
      <c r="Y62" s="2"/>
      <c r="Z62" s="2"/>
    </row>
    <row r="63" spans="1:26" ht="35.25" customHeight="1">
      <c r="A63" s="1" t="s">
        <v>399</v>
      </c>
      <c r="B63" s="2" t="s">
        <v>597</v>
      </c>
      <c r="C63" s="2" t="s">
        <v>588</v>
      </c>
      <c r="D63" s="3" t="s">
        <v>598</v>
      </c>
      <c r="E63" s="3" t="s">
        <v>599</v>
      </c>
      <c r="F63" s="3" t="s">
        <v>600</v>
      </c>
      <c r="G63" s="41" t="s">
        <v>601</v>
      </c>
      <c r="H63" s="2">
        <v>3</v>
      </c>
      <c r="I63" s="2">
        <v>1</v>
      </c>
      <c r="J63" s="1">
        <v>5</v>
      </c>
      <c r="K63" s="1" t="s">
        <v>602</v>
      </c>
      <c r="L63" s="1">
        <v>3</v>
      </c>
      <c r="M63" s="1" t="s">
        <v>603</v>
      </c>
      <c r="N63" s="1">
        <v>5</v>
      </c>
      <c r="O63" s="1" t="s">
        <v>62</v>
      </c>
      <c r="P63" s="1" t="s">
        <v>52</v>
      </c>
      <c r="Q63" s="1">
        <v>5</v>
      </c>
      <c r="R63" s="1" t="s">
        <v>604</v>
      </c>
      <c r="S63" s="1" t="s">
        <v>32</v>
      </c>
      <c r="T63" s="1" t="s">
        <v>605</v>
      </c>
      <c r="U63" s="2"/>
      <c r="V63" s="2"/>
      <c r="W63" s="2"/>
      <c r="X63" s="2"/>
      <c r="Y63" s="2"/>
      <c r="Z63" s="2"/>
    </row>
    <row r="64" spans="1:26" ht="35.25" customHeight="1">
      <c r="A64" s="1" t="s">
        <v>399</v>
      </c>
      <c r="B64" s="2" t="s">
        <v>606</v>
      </c>
      <c r="C64" s="2" t="s">
        <v>588</v>
      </c>
      <c r="D64" s="3" t="s">
        <v>607</v>
      </c>
      <c r="E64" s="3" t="s">
        <v>608</v>
      </c>
      <c r="F64" s="3" t="s">
        <v>609</v>
      </c>
      <c r="G64" s="41" t="s">
        <v>610</v>
      </c>
      <c r="H64" s="2">
        <v>3</v>
      </c>
      <c r="I64" s="2">
        <v>1</v>
      </c>
      <c r="J64" s="1">
        <v>3</v>
      </c>
      <c r="K64" s="1" t="s">
        <v>611</v>
      </c>
      <c r="L64" s="1">
        <v>3</v>
      </c>
      <c r="M64" s="1" t="s">
        <v>612</v>
      </c>
      <c r="N64" s="1">
        <v>5</v>
      </c>
      <c r="O64" s="1" t="s">
        <v>260</v>
      </c>
      <c r="P64" s="1" t="s">
        <v>52</v>
      </c>
      <c r="Q64" s="1">
        <v>5</v>
      </c>
      <c r="R64" s="1" t="s">
        <v>613</v>
      </c>
      <c r="S64" s="1" t="s">
        <v>32</v>
      </c>
      <c r="T64" s="1" t="s">
        <v>614</v>
      </c>
      <c r="U64" s="2"/>
      <c r="V64" s="2"/>
      <c r="W64" s="2"/>
      <c r="X64" s="2"/>
      <c r="Y64" s="2"/>
      <c r="Z64" s="2"/>
    </row>
    <row r="65" spans="1:28" ht="35.25" customHeight="1">
      <c r="A65" s="1" t="s">
        <v>399</v>
      </c>
      <c r="B65" s="2" t="s">
        <v>615</v>
      </c>
      <c r="C65" s="2" t="s">
        <v>588</v>
      </c>
      <c r="D65" s="3" t="s">
        <v>616</v>
      </c>
      <c r="E65" s="3" t="s">
        <v>617</v>
      </c>
      <c r="F65" s="3" t="s">
        <v>618</v>
      </c>
      <c r="G65" s="41" t="s">
        <v>619</v>
      </c>
      <c r="H65" s="2">
        <v>3</v>
      </c>
      <c r="I65" s="2">
        <v>1</v>
      </c>
      <c r="J65" s="1">
        <v>5</v>
      </c>
      <c r="K65" s="1" t="s">
        <v>620</v>
      </c>
      <c r="L65" s="1">
        <v>3</v>
      </c>
      <c r="M65" s="1" t="s">
        <v>621</v>
      </c>
      <c r="N65" s="1">
        <v>5</v>
      </c>
      <c r="O65" s="1" t="s">
        <v>62</v>
      </c>
      <c r="P65" s="1" t="s">
        <v>52</v>
      </c>
      <c r="Q65" s="1">
        <v>5</v>
      </c>
      <c r="R65" s="1" t="s">
        <v>622</v>
      </c>
      <c r="S65" s="1" t="s">
        <v>32</v>
      </c>
      <c r="T65" s="1" t="s">
        <v>623</v>
      </c>
      <c r="U65" s="2"/>
      <c r="V65" s="2"/>
      <c r="W65" s="2"/>
      <c r="X65" s="2"/>
      <c r="Y65" s="2"/>
      <c r="Z65" s="2"/>
    </row>
    <row r="66" spans="1:28" ht="35.25" customHeight="1">
      <c r="A66" s="1" t="s">
        <v>399</v>
      </c>
      <c r="B66" s="2" t="s">
        <v>624</v>
      </c>
      <c r="C66" s="2" t="s">
        <v>588</v>
      </c>
      <c r="D66" s="3" t="s">
        <v>625</v>
      </c>
      <c r="E66" s="3" t="s">
        <v>626</v>
      </c>
      <c r="F66" s="3" t="s">
        <v>627</v>
      </c>
      <c r="G66" s="41" t="s">
        <v>628</v>
      </c>
      <c r="H66" s="2">
        <v>5</v>
      </c>
      <c r="I66" s="2">
        <v>1</v>
      </c>
      <c r="J66" s="1">
        <v>5</v>
      </c>
      <c r="K66" s="1" t="s">
        <v>629</v>
      </c>
      <c r="L66" s="1">
        <v>5</v>
      </c>
      <c r="M66" s="1" t="s">
        <v>630</v>
      </c>
      <c r="N66" s="1">
        <v>5</v>
      </c>
      <c r="O66" s="1" t="s">
        <v>631</v>
      </c>
      <c r="P66" s="1" t="s">
        <v>52</v>
      </c>
      <c r="Q66" s="1">
        <v>5</v>
      </c>
      <c r="R66" s="1" t="s">
        <v>632</v>
      </c>
      <c r="S66" s="1" t="s">
        <v>32</v>
      </c>
      <c r="T66" s="1" t="s">
        <v>92</v>
      </c>
      <c r="U66" s="2"/>
      <c r="V66" s="2"/>
      <c r="W66" s="2"/>
      <c r="X66" s="2"/>
      <c r="Y66" s="2"/>
      <c r="Z66" s="2"/>
    </row>
    <row r="67" spans="1:28" ht="35.25" customHeight="1">
      <c r="A67" s="1" t="s">
        <v>399</v>
      </c>
      <c r="B67" s="2" t="s">
        <v>633</v>
      </c>
      <c r="C67" s="2" t="s">
        <v>588</v>
      </c>
      <c r="D67" s="3" t="s">
        <v>634</v>
      </c>
      <c r="E67" s="3" t="s">
        <v>635</v>
      </c>
      <c r="F67" s="3" t="s">
        <v>636</v>
      </c>
      <c r="G67" s="41" t="s">
        <v>637</v>
      </c>
      <c r="H67" s="2">
        <v>3</v>
      </c>
      <c r="I67" s="2">
        <v>1</v>
      </c>
      <c r="J67" s="1">
        <v>5</v>
      </c>
      <c r="K67" s="1" t="s">
        <v>638</v>
      </c>
      <c r="L67" s="1">
        <v>3</v>
      </c>
      <c r="M67" s="1" t="s">
        <v>639</v>
      </c>
      <c r="N67" s="1">
        <v>5</v>
      </c>
      <c r="O67" s="1" t="s">
        <v>51</v>
      </c>
      <c r="P67" s="1" t="s">
        <v>52</v>
      </c>
      <c r="Q67" s="1">
        <v>3</v>
      </c>
      <c r="R67" s="1" t="s">
        <v>640</v>
      </c>
      <c r="S67" s="1" t="s">
        <v>32</v>
      </c>
      <c r="T67" s="1" t="s">
        <v>641</v>
      </c>
      <c r="U67" s="2"/>
      <c r="V67" s="2"/>
      <c r="W67" s="2"/>
      <c r="X67" s="2"/>
      <c r="Y67" s="2"/>
      <c r="Z67" s="2"/>
    </row>
    <row r="68" spans="1:28" ht="35.25" customHeight="1">
      <c r="A68" s="1" t="s">
        <v>399</v>
      </c>
      <c r="B68" s="2" t="s">
        <v>642</v>
      </c>
      <c r="C68" s="2" t="s">
        <v>588</v>
      </c>
      <c r="D68" s="3" t="s">
        <v>643</v>
      </c>
      <c r="E68" s="3" t="s">
        <v>644</v>
      </c>
      <c r="F68" s="3" t="s">
        <v>645</v>
      </c>
      <c r="G68" s="41" t="s">
        <v>646</v>
      </c>
      <c r="H68" s="2">
        <v>3</v>
      </c>
      <c r="I68" s="2">
        <v>1</v>
      </c>
      <c r="J68" s="1">
        <v>5</v>
      </c>
      <c r="K68" s="1" t="s">
        <v>647</v>
      </c>
      <c r="L68" s="1">
        <v>3</v>
      </c>
      <c r="M68" s="1" t="s">
        <v>648</v>
      </c>
      <c r="N68" s="1">
        <v>5</v>
      </c>
      <c r="O68" s="1" t="s">
        <v>51</v>
      </c>
      <c r="P68" s="1" t="s">
        <v>52</v>
      </c>
      <c r="Q68" s="1">
        <v>5</v>
      </c>
      <c r="R68" s="1" t="s">
        <v>649</v>
      </c>
      <c r="S68" s="1" t="s">
        <v>32</v>
      </c>
      <c r="T68" s="1" t="s">
        <v>650</v>
      </c>
      <c r="U68" s="2"/>
      <c r="V68" s="2"/>
      <c r="W68" s="2"/>
      <c r="X68" s="2"/>
      <c r="Y68" s="2"/>
      <c r="Z68" s="2"/>
    </row>
    <row r="69" spans="1:28" ht="35.25" customHeight="1">
      <c r="A69" s="1" t="s">
        <v>399</v>
      </c>
      <c r="B69" s="2" t="s">
        <v>651</v>
      </c>
      <c r="C69" s="2" t="s">
        <v>588</v>
      </c>
      <c r="D69" s="3" t="s">
        <v>652</v>
      </c>
      <c r="E69" s="3" t="s">
        <v>653</v>
      </c>
      <c r="F69" s="3" t="s">
        <v>654</v>
      </c>
      <c r="G69" s="41" t="s">
        <v>655</v>
      </c>
      <c r="H69" s="2">
        <v>3</v>
      </c>
      <c r="I69" s="2">
        <v>1</v>
      </c>
      <c r="J69" s="1">
        <v>5</v>
      </c>
      <c r="K69" s="1" t="s">
        <v>656</v>
      </c>
      <c r="L69" s="1">
        <v>3</v>
      </c>
      <c r="M69" s="1" t="s">
        <v>657</v>
      </c>
      <c r="N69" s="1">
        <v>5</v>
      </c>
      <c r="O69" s="1" t="s">
        <v>51</v>
      </c>
      <c r="P69" s="1" t="s">
        <v>30</v>
      </c>
      <c r="Q69" s="1">
        <v>5</v>
      </c>
      <c r="R69" s="1" t="s">
        <v>658</v>
      </c>
      <c r="S69" s="1" t="s">
        <v>32</v>
      </c>
      <c r="T69" s="1" t="s">
        <v>659</v>
      </c>
      <c r="U69" s="2"/>
      <c r="V69" s="2"/>
      <c r="W69" s="2"/>
      <c r="X69" s="2"/>
      <c r="Y69" s="2"/>
      <c r="Z69" s="2"/>
    </row>
    <row r="70" spans="1:28" ht="35.25" customHeight="1">
      <c r="A70" s="1" t="s">
        <v>399</v>
      </c>
      <c r="B70" s="2" t="s">
        <v>660</v>
      </c>
      <c r="C70" s="2" t="s">
        <v>588</v>
      </c>
      <c r="D70" s="3" t="s">
        <v>661</v>
      </c>
      <c r="E70" s="3" t="s">
        <v>662</v>
      </c>
      <c r="F70" s="3" t="s">
        <v>663</v>
      </c>
      <c r="G70" s="41" t="s">
        <v>664</v>
      </c>
      <c r="H70" s="2">
        <v>3</v>
      </c>
      <c r="I70" s="2">
        <v>1</v>
      </c>
      <c r="J70" s="1">
        <v>5</v>
      </c>
      <c r="K70" s="1" t="s">
        <v>665</v>
      </c>
      <c r="L70" s="1">
        <v>3</v>
      </c>
      <c r="M70" s="1" t="s">
        <v>666</v>
      </c>
      <c r="N70" s="1">
        <v>5</v>
      </c>
      <c r="O70" s="1" t="s">
        <v>62</v>
      </c>
      <c r="P70" s="1" t="s">
        <v>52</v>
      </c>
      <c r="Q70" s="1">
        <v>5</v>
      </c>
      <c r="R70" s="1" t="s">
        <v>667</v>
      </c>
      <c r="S70" s="1" t="s">
        <v>32</v>
      </c>
      <c r="T70" s="1" t="s">
        <v>668</v>
      </c>
      <c r="U70" s="2"/>
      <c r="V70" s="2"/>
      <c r="W70" s="2"/>
      <c r="X70" s="2"/>
      <c r="Y70" s="2"/>
      <c r="Z70" s="2"/>
    </row>
    <row r="71" spans="1:28" ht="35.25" customHeight="1">
      <c r="A71" s="1" t="s">
        <v>399</v>
      </c>
      <c r="B71" s="2" t="s">
        <v>669</v>
      </c>
      <c r="C71" s="2" t="s">
        <v>588</v>
      </c>
      <c r="D71" s="3" t="s">
        <v>670</v>
      </c>
      <c r="E71" s="3" t="s">
        <v>671</v>
      </c>
      <c r="F71" s="3" t="s">
        <v>672</v>
      </c>
      <c r="G71" s="41" t="s">
        <v>673</v>
      </c>
      <c r="H71" s="2">
        <v>3</v>
      </c>
      <c r="I71" s="2">
        <v>1</v>
      </c>
      <c r="J71" s="1">
        <v>3</v>
      </c>
      <c r="K71" s="1" t="s">
        <v>674</v>
      </c>
      <c r="L71" s="1">
        <v>3</v>
      </c>
      <c r="M71" s="1" t="s">
        <v>675</v>
      </c>
      <c r="N71" s="1">
        <v>5</v>
      </c>
      <c r="O71" s="1" t="s">
        <v>166</v>
      </c>
      <c r="P71" s="1" t="s">
        <v>52</v>
      </c>
      <c r="Q71" s="1">
        <v>5</v>
      </c>
      <c r="R71" s="1" t="s">
        <v>676</v>
      </c>
      <c r="S71" s="1" t="s">
        <v>32</v>
      </c>
      <c r="T71" s="1" t="s">
        <v>677</v>
      </c>
      <c r="U71" s="2"/>
      <c r="V71" s="2"/>
      <c r="W71" s="2"/>
      <c r="X71" s="2"/>
      <c r="Y71" s="2"/>
      <c r="Z71" s="2"/>
    </row>
    <row r="72" spans="1:28" ht="35.25" customHeight="1">
      <c r="A72" s="2" t="s">
        <v>20</v>
      </c>
      <c r="B72" s="2" t="s">
        <v>678</v>
      </c>
      <c r="C72" s="4" t="s">
        <v>382</v>
      </c>
      <c r="D72" s="7" t="s">
        <v>679</v>
      </c>
      <c r="E72" s="7" t="s">
        <v>680</v>
      </c>
      <c r="F72" s="7" t="s">
        <v>681</v>
      </c>
      <c r="G72" s="41" t="s">
        <v>682</v>
      </c>
      <c r="H72" s="2">
        <v>5</v>
      </c>
      <c r="I72" s="2">
        <v>1</v>
      </c>
      <c r="J72" s="1">
        <v>5</v>
      </c>
      <c r="K72" s="1" t="s">
        <v>683</v>
      </c>
      <c r="L72" s="1">
        <v>5</v>
      </c>
      <c r="M72" s="1" t="s">
        <v>684</v>
      </c>
      <c r="N72" s="1">
        <v>5</v>
      </c>
      <c r="O72" s="1" t="s">
        <v>51</v>
      </c>
      <c r="P72" s="1" t="s">
        <v>30</v>
      </c>
      <c r="Q72" s="1">
        <v>5</v>
      </c>
      <c r="R72" s="1" t="s">
        <v>685</v>
      </c>
      <c r="S72" s="1" t="s">
        <v>32</v>
      </c>
      <c r="T72" s="1" t="s">
        <v>686</v>
      </c>
      <c r="U72" s="2"/>
      <c r="V72" s="2"/>
      <c r="W72" s="2"/>
      <c r="X72" s="2"/>
      <c r="Y72" s="2"/>
      <c r="Z72" s="2"/>
      <c r="AA72" s="2"/>
      <c r="AB72" s="2"/>
    </row>
    <row r="73" spans="1:28" ht="35.25" customHeight="1">
      <c r="A73" s="2" t="s">
        <v>20</v>
      </c>
      <c r="B73" s="2" t="s">
        <v>687</v>
      </c>
      <c r="C73" s="4" t="s">
        <v>382</v>
      </c>
      <c r="D73" s="7" t="s">
        <v>688</v>
      </c>
      <c r="E73" s="7" t="s">
        <v>689</v>
      </c>
      <c r="F73" s="7" t="s">
        <v>690</v>
      </c>
      <c r="G73" s="41" t="s">
        <v>691</v>
      </c>
      <c r="H73" s="2">
        <v>3</v>
      </c>
      <c r="I73" s="2">
        <v>1</v>
      </c>
      <c r="J73" s="1">
        <v>5</v>
      </c>
      <c r="K73" s="1" t="s">
        <v>692</v>
      </c>
      <c r="L73" s="1">
        <v>3</v>
      </c>
      <c r="M73" s="1" t="s">
        <v>693</v>
      </c>
      <c r="N73" s="1">
        <v>5</v>
      </c>
      <c r="O73" s="1" t="s">
        <v>51</v>
      </c>
      <c r="P73" s="1" t="s">
        <v>694</v>
      </c>
      <c r="Q73" s="1">
        <v>5</v>
      </c>
      <c r="R73" s="1" t="s">
        <v>695</v>
      </c>
      <c r="S73" s="1" t="s">
        <v>32</v>
      </c>
      <c r="T73" s="1" t="s">
        <v>696</v>
      </c>
      <c r="U73" s="2"/>
      <c r="V73" s="2"/>
      <c r="W73" s="2"/>
      <c r="X73" s="2"/>
      <c r="Y73" s="2"/>
      <c r="Z73" s="2"/>
      <c r="AA73" s="2"/>
      <c r="AB73" s="2"/>
    </row>
    <row r="74" spans="1:28" ht="35.25" customHeight="1">
      <c r="A74" s="2" t="s">
        <v>20</v>
      </c>
      <c r="B74" s="2" t="s">
        <v>697</v>
      </c>
      <c r="C74" s="4" t="s">
        <v>382</v>
      </c>
      <c r="D74" s="7" t="s">
        <v>698</v>
      </c>
      <c r="E74" s="7" t="s">
        <v>699</v>
      </c>
      <c r="F74" s="7" t="s">
        <v>700</v>
      </c>
      <c r="G74" s="41" t="s">
        <v>701</v>
      </c>
      <c r="H74" s="2">
        <v>3</v>
      </c>
      <c r="I74" s="2">
        <v>1</v>
      </c>
      <c r="J74" s="1">
        <v>3</v>
      </c>
      <c r="K74" s="1" t="s">
        <v>702</v>
      </c>
      <c r="L74" s="1">
        <v>3</v>
      </c>
      <c r="M74" s="1" t="s">
        <v>703</v>
      </c>
      <c r="N74" s="1">
        <v>5</v>
      </c>
      <c r="O74" s="1" t="s">
        <v>51</v>
      </c>
      <c r="P74" s="1" t="s">
        <v>52</v>
      </c>
      <c r="Q74" s="1">
        <v>3</v>
      </c>
      <c r="R74" s="1" t="s">
        <v>704</v>
      </c>
      <c r="S74" s="1" t="s">
        <v>32</v>
      </c>
      <c r="T74" s="1" t="s">
        <v>705</v>
      </c>
      <c r="U74" s="2"/>
      <c r="V74" s="2"/>
      <c r="W74" s="2"/>
      <c r="X74" s="2"/>
      <c r="Y74" s="2"/>
      <c r="Z74" s="2"/>
      <c r="AA74" s="2"/>
      <c r="AB74" s="2"/>
    </row>
    <row r="75" spans="1:28" ht="35.25" customHeight="1">
      <c r="A75" s="2" t="s">
        <v>20</v>
      </c>
      <c r="B75" s="2" t="s">
        <v>706</v>
      </c>
      <c r="C75" s="4" t="s">
        <v>327</v>
      </c>
      <c r="D75" s="7" t="s">
        <v>707</v>
      </c>
      <c r="E75" s="7" t="s">
        <v>708</v>
      </c>
      <c r="F75" s="7" t="s">
        <v>709</v>
      </c>
      <c r="G75" s="41" t="s">
        <v>710</v>
      </c>
      <c r="H75" s="2">
        <v>5</v>
      </c>
      <c r="I75" s="2">
        <v>1</v>
      </c>
      <c r="J75" s="1">
        <v>5</v>
      </c>
      <c r="K75" s="1" t="s">
        <v>711</v>
      </c>
      <c r="L75" s="1">
        <v>5</v>
      </c>
      <c r="M75" s="1" t="s">
        <v>712</v>
      </c>
      <c r="N75" s="1">
        <v>5</v>
      </c>
      <c r="O75" s="1" t="s">
        <v>713</v>
      </c>
      <c r="P75" s="1" t="s">
        <v>52</v>
      </c>
      <c r="Q75" s="1">
        <v>5</v>
      </c>
      <c r="R75" s="1" t="s">
        <v>714</v>
      </c>
      <c r="S75" s="1" t="s">
        <v>32</v>
      </c>
      <c r="T75" s="1" t="s">
        <v>43</v>
      </c>
      <c r="U75" s="2"/>
      <c r="V75" s="2"/>
      <c r="W75" s="2"/>
      <c r="X75" s="2"/>
      <c r="Y75" s="2"/>
      <c r="Z75" s="2"/>
      <c r="AA75" s="2"/>
      <c r="AB75" s="2"/>
    </row>
    <row r="76" spans="1:28" ht="35.25" customHeight="1">
      <c r="A76" s="2" t="s">
        <v>20</v>
      </c>
      <c r="B76" s="2" t="s">
        <v>715</v>
      </c>
      <c r="C76" s="4" t="s">
        <v>327</v>
      </c>
      <c r="D76" s="7" t="s">
        <v>716</v>
      </c>
      <c r="E76" s="7" t="s">
        <v>717</v>
      </c>
      <c r="F76" s="7" t="s">
        <v>718</v>
      </c>
      <c r="G76" s="41" t="s">
        <v>719</v>
      </c>
      <c r="H76" s="2">
        <v>5</v>
      </c>
      <c r="I76" s="2">
        <v>1</v>
      </c>
      <c r="J76" s="1">
        <v>5</v>
      </c>
      <c r="K76" s="1" t="s">
        <v>720</v>
      </c>
      <c r="L76" s="1">
        <v>5</v>
      </c>
      <c r="M76" s="1" t="s">
        <v>721</v>
      </c>
      <c r="N76" s="1">
        <v>5</v>
      </c>
      <c r="O76" s="1" t="s">
        <v>51</v>
      </c>
      <c r="P76" s="1" t="s">
        <v>52</v>
      </c>
      <c r="Q76" s="1">
        <v>5</v>
      </c>
      <c r="R76" s="1" t="s">
        <v>722</v>
      </c>
      <c r="S76" s="1" t="s">
        <v>32</v>
      </c>
      <c r="T76" s="1" t="s">
        <v>43</v>
      </c>
      <c r="U76" s="2"/>
      <c r="V76" s="2"/>
      <c r="W76" s="2"/>
      <c r="X76" s="2"/>
      <c r="Y76" s="2"/>
      <c r="Z76" s="2"/>
      <c r="AA76" s="2"/>
      <c r="AB76" s="2"/>
    </row>
    <row r="77" spans="1:28" ht="35.25" customHeight="1">
      <c r="A77" s="2" t="s">
        <v>20</v>
      </c>
      <c r="B77" s="2" t="s">
        <v>723</v>
      </c>
      <c r="C77" s="4" t="s">
        <v>327</v>
      </c>
      <c r="D77" s="7" t="s">
        <v>724</v>
      </c>
      <c r="E77" s="7" t="s">
        <v>725</v>
      </c>
      <c r="F77" s="7" t="s">
        <v>726</v>
      </c>
      <c r="G77" s="41" t="s">
        <v>727</v>
      </c>
      <c r="H77" s="2">
        <v>5</v>
      </c>
      <c r="I77" s="2">
        <v>1</v>
      </c>
      <c r="J77" s="1">
        <v>5</v>
      </c>
      <c r="K77" s="1" t="s">
        <v>728</v>
      </c>
      <c r="L77" s="1">
        <v>5</v>
      </c>
      <c r="M77" s="1" t="s">
        <v>729</v>
      </c>
      <c r="N77" s="1">
        <v>5</v>
      </c>
      <c r="O77" s="1" t="s">
        <v>100</v>
      </c>
      <c r="P77" s="1" t="s">
        <v>52</v>
      </c>
      <c r="Q77" s="1">
        <v>5</v>
      </c>
      <c r="R77" s="1" t="s">
        <v>730</v>
      </c>
      <c r="S77" s="1" t="s">
        <v>32</v>
      </c>
      <c r="T77" s="1" t="s">
        <v>64</v>
      </c>
      <c r="U77" s="2"/>
      <c r="V77" s="2"/>
      <c r="W77" s="2"/>
      <c r="X77" s="2"/>
      <c r="Y77" s="2"/>
      <c r="Z77" s="2"/>
      <c r="AA77" s="2"/>
      <c r="AB77" s="2"/>
    </row>
    <row r="78" spans="1:28" ht="35.25" customHeight="1">
      <c r="A78" s="2" t="s">
        <v>20</v>
      </c>
      <c r="B78" s="2" t="s">
        <v>731</v>
      </c>
      <c r="C78" s="4" t="s">
        <v>327</v>
      </c>
      <c r="D78" s="7" t="s">
        <v>732</v>
      </c>
      <c r="E78" s="7" t="s">
        <v>733</v>
      </c>
      <c r="F78" s="7" t="s">
        <v>734</v>
      </c>
      <c r="G78" s="41" t="s">
        <v>735</v>
      </c>
      <c r="H78" s="2">
        <v>5</v>
      </c>
      <c r="I78" s="2">
        <v>1</v>
      </c>
      <c r="J78" s="1">
        <v>5</v>
      </c>
      <c r="K78" s="1" t="s">
        <v>736</v>
      </c>
      <c r="L78" s="1">
        <v>5</v>
      </c>
      <c r="M78" s="1" t="s">
        <v>737</v>
      </c>
      <c r="N78" s="1">
        <v>5</v>
      </c>
      <c r="O78" s="1" t="s">
        <v>738</v>
      </c>
      <c r="P78" s="1" t="s">
        <v>52</v>
      </c>
      <c r="Q78" s="1">
        <v>5</v>
      </c>
      <c r="R78" s="1" t="s">
        <v>739</v>
      </c>
      <c r="S78" s="1" t="s">
        <v>32</v>
      </c>
      <c r="T78" s="1" t="s">
        <v>92</v>
      </c>
      <c r="U78" s="2"/>
      <c r="V78" s="2"/>
      <c r="W78" s="2"/>
      <c r="X78" s="2"/>
      <c r="Y78" s="2"/>
      <c r="Z78" s="2"/>
      <c r="AA78" s="2"/>
      <c r="AB78" s="2"/>
    </row>
    <row r="79" spans="1:28" ht="35.25" customHeight="1">
      <c r="A79" s="2" t="s">
        <v>20</v>
      </c>
      <c r="B79" s="2" t="s">
        <v>740</v>
      </c>
      <c r="C79" s="4" t="s">
        <v>327</v>
      </c>
      <c r="D79" s="7" t="s">
        <v>741</v>
      </c>
      <c r="E79" s="7" t="s">
        <v>742</v>
      </c>
      <c r="F79" s="8" t="s">
        <v>743</v>
      </c>
      <c r="G79" s="41" t="s">
        <v>744</v>
      </c>
      <c r="H79" s="2">
        <v>5</v>
      </c>
      <c r="I79" s="2">
        <v>1</v>
      </c>
      <c r="J79" s="1">
        <v>5</v>
      </c>
      <c r="K79" s="1" t="s">
        <v>745</v>
      </c>
      <c r="L79" s="1">
        <v>5</v>
      </c>
      <c r="M79" s="1" t="s">
        <v>746</v>
      </c>
      <c r="N79" s="1">
        <v>5</v>
      </c>
      <c r="O79" s="1" t="s">
        <v>81</v>
      </c>
      <c r="P79" s="1" t="s">
        <v>52</v>
      </c>
      <c r="Q79" s="1">
        <v>5</v>
      </c>
      <c r="R79" s="1" t="s">
        <v>747</v>
      </c>
      <c r="S79" s="1" t="s">
        <v>32</v>
      </c>
      <c r="T79" s="1" t="s">
        <v>92</v>
      </c>
      <c r="U79" s="2"/>
      <c r="V79" s="2"/>
      <c r="W79" s="2"/>
      <c r="X79" s="2"/>
      <c r="Y79" s="2"/>
      <c r="Z79" s="2"/>
      <c r="AA79" s="2"/>
      <c r="AB79" s="2"/>
    </row>
    <row r="80" spans="1:28" ht="35.25" customHeight="1">
      <c r="A80" s="2" t="s">
        <v>20</v>
      </c>
      <c r="B80" s="2" t="s">
        <v>748</v>
      </c>
      <c r="C80" s="4" t="s">
        <v>749</v>
      </c>
      <c r="D80" s="7" t="s">
        <v>750</v>
      </c>
      <c r="E80" s="7" t="s">
        <v>751</v>
      </c>
      <c r="F80" s="7" t="s">
        <v>752</v>
      </c>
      <c r="G80" s="41" t="s">
        <v>753</v>
      </c>
      <c r="H80" s="2">
        <v>5</v>
      </c>
      <c r="I80" s="2">
        <v>1</v>
      </c>
      <c r="J80" s="1">
        <v>5</v>
      </c>
      <c r="K80" s="1" t="s">
        <v>754</v>
      </c>
      <c r="L80" s="1">
        <v>5</v>
      </c>
      <c r="M80" s="1" t="s">
        <v>755</v>
      </c>
      <c r="N80" s="1">
        <v>5</v>
      </c>
      <c r="O80" s="1" t="s">
        <v>62</v>
      </c>
      <c r="P80" s="1" t="s">
        <v>52</v>
      </c>
      <c r="Q80" s="1">
        <v>5</v>
      </c>
      <c r="R80" s="1" t="s">
        <v>756</v>
      </c>
      <c r="S80" s="1" t="s">
        <v>32</v>
      </c>
      <c r="T80" s="1" t="s">
        <v>92</v>
      </c>
      <c r="U80" s="2"/>
      <c r="V80" s="2"/>
      <c r="W80" s="2"/>
      <c r="X80" s="2"/>
      <c r="Y80" s="2"/>
      <c r="Z80" s="2"/>
      <c r="AA80" s="2"/>
      <c r="AB80" s="2"/>
    </row>
    <row r="81" spans="1:28" ht="35.25" customHeight="1">
      <c r="A81" s="2" t="s">
        <v>20</v>
      </c>
      <c r="B81" s="2" t="s">
        <v>757</v>
      </c>
      <c r="C81" s="4" t="s">
        <v>749</v>
      </c>
      <c r="D81" s="7" t="s">
        <v>758</v>
      </c>
      <c r="E81" s="7" t="s">
        <v>759</v>
      </c>
      <c r="F81" s="7" t="s">
        <v>760</v>
      </c>
      <c r="G81" s="41" t="s">
        <v>761</v>
      </c>
      <c r="H81" s="2">
        <v>5</v>
      </c>
      <c r="I81" s="2">
        <v>1</v>
      </c>
      <c r="J81" s="1">
        <v>5</v>
      </c>
      <c r="K81" s="1" t="s">
        <v>762</v>
      </c>
      <c r="L81" s="1">
        <v>5</v>
      </c>
      <c r="M81" s="1" t="s">
        <v>763</v>
      </c>
      <c r="N81" s="1">
        <v>5</v>
      </c>
      <c r="O81" s="1" t="s">
        <v>764</v>
      </c>
      <c r="P81" s="1" t="s">
        <v>30</v>
      </c>
      <c r="Q81" s="1">
        <v>5</v>
      </c>
      <c r="R81" s="1" t="s">
        <v>765</v>
      </c>
      <c r="S81" s="1" t="s">
        <v>32</v>
      </c>
      <c r="T81" s="1" t="s">
        <v>766</v>
      </c>
      <c r="U81" s="2"/>
      <c r="V81" s="2"/>
      <c r="W81" s="2"/>
      <c r="X81" s="2"/>
      <c r="Y81" s="2"/>
      <c r="Z81" s="2"/>
      <c r="AA81" s="2"/>
      <c r="AB81" s="2"/>
    </row>
    <row r="82" spans="1:28" ht="35.25" customHeight="1">
      <c r="A82" s="2" t="s">
        <v>20</v>
      </c>
      <c r="B82" s="2" t="s">
        <v>767</v>
      </c>
      <c r="C82" s="4" t="s">
        <v>749</v>
      </c>
      <c r="D82" s="7" t="s">
        <v>768</v>
      </c>
      <c r="E82" s="7" t="s">
        <v>769</v>
      </c>
      <c r="F82" s="7" t="s">
        <v>770</v>
      </c>
      <c r="G82" s="41" t="s">
        <v>771</v>
      </c>
      <c r="H82" s="2">
        <v>5</v>
      </c>
      <c r="I82" s="2">
        <v>1</v>
      </c>
      <c r="J82" s="1">
        <v>5</v>
      </c>
      <c r="K82" s="1" t="s">
        <v>772</v>
      </c>
      <c r="L82" s="1">
        <v>5</v>
      </c>
      <c r="M82" s="1" t="s">
        <v>773</v>
      </c>
      <c r="N82" s="1">
        <v>5</v>
      </c>
      <c r="O82" s="1" t="s">
        <v>51</v>
      </c>
      <c r="P82" s="1" t="s">
        <v>52</v>
      </c>
      <c r="Q82" s="1">
        <v>5</v>
      </c>
      <c r="R82" s="1" t="s">
        <v>774</v>
      </c>
      <c r="S82" s="1" t="s">
        <v>32</v>
      </c>
      <c r="T82" s="1" t="s">
        <v>353</v>
      </c>
      <c r="U82" s="2"/>
      <c r="V82" s="2"/>
      <c r="W82" s="2"/>
      <c r="X82" s="2"/>
      <c r="Y82" s="2"/>
      <c r="Z82" s="2"/>
      <c r="AA82" s="2"/>
      <c r="AB82" s="2"/>
    </row>
    <row r="83" spans="1:28" ht="35.25" customHeight="1">
      <c r="A83" s="2" t="s">
        <v>20</v>
      </c>
      <c r="B83" s="2" t="s">
        <v>775</v>
      </c>
      <c r="C83" s="4" t="s">
        <v>749</v>
      </c>
      <c r="D83" s="7" t="s">
        <v>776</v>
      </c>
      <c r="E83" s="7" t="s">
        <v>777</v>
      </c>
      <c r="F83" s="7" t="s">
        <v>778</v>
      </c>
      <c r="G83" s="41" t="s">
        <v>779</v>
      </c>
      <c r="H83" s="2">
        <v>5</v>
      </c>
      <c r="I83" s="2">
        <v>1</v>
      </c>
      <c r="J83" s="1">
        <v>5</v>
      </c>
      <c r="K83" s="1" t="s">
        <v>780</v>
      </c>
      <c r="L83" s="1">
        <v>5</v>
      </c>
      <c r="M83" s="1" t="s">
        <v>781</v>
      </c>
      <c r="N83" s="1">
        <v>5</v>
      </c>
      <c r="O83" s="1" t="s">
        <v>782</v>
      </c>
      <c r="P83" s="1" t="s">
        <v>52</v>
      </c>
      <c r="Q83" s="1">
        <v>5</v>
      </c>
      <c r="R83" s="1" t="s">
        <v>783</v>
      </c>
      <c r="S83" s="1" t="s">
        <v>32</v>
      </c>
      <c r="T83" s="1" t="s">
        <v>784</v>
      </c>
      <c r="U83" s="2"/>
      <c r="V83" s="2"/>
      <c r="W83" s="2"/>
      <c r="X83" s="2"/>
      <c r="Y83" s="2"/>
      <c r="Z83" s="2"/>
      <c r="AA83" s="2"/>
      <c r="AB83" s="2"/>
    </row>
    <row r="84" spans="1:28" ht="35.25" customHeight="1">
      <c r="A84" s="2" t="s">
        <v>20</v>
      </c>
      <c r="B84" s="2" t="s">
        <v>785</v>
      </c>
      <c r="C84" s="4" t="s">
        <v>749</v>
      </c>
      <c r="D84" s="7" t="s">
        <v>786</v>
      </c>
      <c r="E84" s="7" t="s">
        <v>787</v>
      </c>
      <c r="F84" s="7" t="s">
        <v>788</v>
      </c>
      <c r="G84" s="41" t="s">
        <v>789</v>
      </c>
      <c r="H84" s="2">
        <v>5</v>
      </c>
      <c r="I84" s="2">
        <v>1</v>
      </c>
      <c r="J84" s="1">
        <v>5</v>
      </c>
      <c r="K84" s="1" t="s">
        <v>790</v>
      </c>
      <c r="L84" s="1">
        <v>5</v>
      </c>
      <c r="M84" s="1" t="s">
        <v>791</v>
      </c>
      <c r="N84" s="1">
        <v>5</v>
      </c>
      <c r="O84" s="1" t="s">
        <v>62</v>
      </c>
      <c r="P84" s="1" t="s">
        <v>52</v>
      </c>
      <c r="Q84" s="1">
        <v>5</v>
      </c>
      <c r="R84" s="1" t="s">
        <v>792</v>
      </c>
      <c r="S84" s="1" t="s">
        <v>32</v>
      </c>
      <c r="T84" s="1" t="s">
        <v>793</v>
      </c>
      <c r="U84" s="2"/>
      <c r="V84" s="2"/>
      <c r="W84" s="2"/>
      <c r="X84" s="2"/>
      <c r="Y84" s="2"/>
      <c r="Z84" s="2"/>
      <c r="AA84" s="2"/>
      <c r="AB84" s="2"/>
    </row>
    <row r="85" spans="1:28" ht="35.25" customHeight="1">
      <c r="A85" s="2" t="s">
        <v>20</v>
      </c>
      <c r="B85" s="2" t="s">
        <v>794</v>
      </c>
      <c r="C85" s="4" t="s">
        <v>795</v>
      </c>
      <c r="D85" s="7" t="s">
        <v>796</v>
      </c>
      <c r="E85" s="7" t="s">
        <v>797</v>
      </c>
      <c r="F85" s="7" t="s">
        <v>798</v>
      </c>
      <c r="G85" s="41" t="s">
        <v>799</v>
      </c>
      <c r="H85" s="2">
        <v>5</v>
      </c>
      <c r="I85" s="2">
        <v>1</v>
      </c>
      <c r="J85" s="1">
        <v>5</v>
      </c>
      <c r="K85" s="1" t="s">
        <v>800</v>
      </c>
      <c r="L85" s="1">
        <v>5</v>
      </c>
      <c r="M85" s="1" t="s">
        <v>801</v>
      </c>
      <c r="N85" s="1">
        <v>5</v>
      </c>
      <c r="O85" s="1" t="s">
        <v>51</v>
      </c>
      <c r="P85" s="1" t="s">
        <v>52</v>
      </c>
      <c r="Q85" s="1">
        <v>5</v>
      </c>
      <c r="R85" s="1" t="s">
        <v>802</v>
      </c>
      <c r="S85" s="1" t="s">
        <v>32</v>
      </c>
      <c r="T85" s="1" t="s">
        <v>92</v>
      </c>
      <c r="U85" s="2"/>
      <c r="V85" s="2"/>
      <c r="W85" s="2"/>
      <c r="X85" s="2"/>
      <c r="Y85" s="2"/>
      <c r="Z85" s="2"/>
      <c r="AA85" s="2"/>
      <c r="AB85" s="2"/>
    </row>
    <row r="86" spans="1:28" ht="35.25" customHeight="1">
      <c r="A86" s="2" t="s">
        <v>20</v>
      </c>
      <c r="B86" s="2" t="s">
        <v>803</v>
      </c>
      <c r="C86" s="4" t="s">
        <v>795</v>
      </c>
      <c r="D86" s="7" t="s">
        <v>804</v>
      </c>
      <c r="E86" s="7" t="s">
        <v>805</v>
      </c>
      <c r="F86" s="7" t="s">
        <v>806</v>
      </c>
      <c r="G86" s="41" t="s">
        <v>807</v>
      </c>
      <c r="H86" s="2">
        <v>5</v>
      </c>
      <c r="I86" s="2">
        <v>1</v>
      </c>
      <c r="J86" s="1">
        <v>5</v>
      </c>
      <c r="K86" s="1" t="s">
        <v>808</v>
      </c>
      <c r="L86" s="1">
        <v>5</v>
      </c>
      <c r="M86" s="1" t="s">
        <v>809</v>
      </c>
      <c r="N86" s="1">
        <v>5</v>
      </c>
      <c r="O86" s="1" t="s">
        <v>62</v>
      </c>
      <c r="P86" s="1" t="s">
        <v>52</v>
      </c>
      <c r="Q86" s="1">
        <v>5</v>
      </c>
      <c r="R86" s="1" t="s">
        <v>810</v>
      </c>
      <c r="S86" s="1" t="s">
        <v>32</v>
      </c>
      <c r="T86" s="1" t="s">
        <v>811</v>
      </c>
      <c r="U86" s="2"/>
      <c r="V86" s="2"/>
      <c r="W86" s="2"/>
      <c r="X86" s="2"/>
      <c r="Y86" s="2"/>
      <c r="Z86" s="2"/>
      <c r="AA86" s="2"/>
      <c r="AB86" s="2"/>
    </row>
    <row r="87" spans="1:28" ht="35.25" customHeight="1">
      <c r="A87" s="2" t="s">
        <v>20</v>
      </c>
      <c r="B87" s="2" t="s">
        <v>812</v>
      </c>
      <c r="C87" s="4" t="s">
        <v>795</v>
      </c>
      <c r="D87" s="7" t="s">
        <v>813</v>
      </c>
      <c r="E87" s="7" t="s">
        <v>814</v>
      </c>
      <c r="F87" s="7" t="s">
        <v>815</v>
      </c>
      <c r="G87" s="41" t="s">
        <v>816</v>
      </c>
      <c r="H87" s="2">
        <v>1</v>
      </c>
      <c r="I87" s="2">
        <v>0</v>
      </c>
      <c r="J87" s="1">
        <v>1</v>
      </c>
      <c r="K87" s="1" t="s">
        <v>817</v>
      </c>
      <c r="L87" s="1">
        <v>3</v>
      </c>
      <c r="M87" s="1" t="s">
        <v>818</v>
      </c>
      <c r="N87" s="1">
        <v>5</v>
      </c>
      <c r="O87" s="1" t="s">
        <v>819</v>
      </c>
      <c r="P87" s="1" t="s">
        <v>52</v>
      </c>
      <c r="Q87" s="1">
        <v>1</v>
      </c>
      <c r="R87" s="1" t="s">
        <v>820</v>
      </c>
      <c r="S87" s="1" t="s">
        <v>243</v>
      </c>
      <c r="T87" s="1" t="s">
        <v>821</v>
      </c>
      <c r="U87" s="2"/>
      <c r="V87" s="2"/>
      <c r="W87" s="2"/>
      <c r="X87" s="2"/>
      <c r="Y87" s="2"/>
      <c r="Z87" s="2"/>
      <c r="AA87" s="2"/>
      <c r="AB87" s="2"/>
    </row>
    <row r="88" spans="1:28" ht="35.25" customHeight="1">
      <c r="A88" s="2" t="s">
        <v>20</v>
      </c>
      <c r="B88" s="2" t="s">
        <v>822</v>
      </c>
      <c r="C88" s="4" t="s">
        <v>795</v>
      </c>
      <c r="D88" s="7" t="s">
        <v>823</v>
      </c>
      <c r="E88" s="7" t="s">
        <v>824</v>
      </c>
      <c r="F88" s="7" t="s">
        <v>825</v>
      </c>
      <c r="G88" s="41" t="s">
        <v>826</v>
      </c>
      <c r="H88" s="2">
        <v>5</v>
      </c>
      <c r="I88" s="2">
        <v>1</v>
      </c>
      <c r="J88" s="1">
        <v>5</v>
      </c>
      <c r="K88" s="1" t="s">
        <v>827</v>
      </c>
      <c r="L88" s="1">
        <v>5</v>
      </c>
      <c r="M88" s="1" t="s">
        <v>828</v>
      </c>
      <c r="N88" s="1">
        <v>5</v>
      </c>
      <c r="O88" s="1" t="s">
        <v>81</v>
      </c>
      <c r="P88" s="1" t="s">
        <v>176</v>
      </c>
      <c r="Q88" s="1">
        <v>5</v>
      </c>
      <c r="R88" s="1" t="s">
        <v>829</v>
      </c>
      <c r="S88" s="1" t="s">
        <v>32</v>
      </c>
      <c r="T88" s="1" t="s">
        <v>830</v>
      </c>
      <c r="U88" s="2"/>
      <c r="V88" s="2"/>
      <c r="W88" s="2"/>
      <c r="X88" s="2"/>
      <c r="Y88" s="2"/>
      <c r="Z88" s="2"/>
      <c r="AA88" s="2"/>
      <c r="AB88" s="2"/>
    </row>
    <row r="89" spans="1:28" ht="35.25" customHeight="1">
      <c r="A89" s="2" t="s">
        <v>20</v>
      </c>
      <c r="B89" s="2" t="s">
        <v>831</v>
      </c>
      <c r="C89" s="4" t="s">
        <v>795</v>
      </c>
      <c r="D89" s="7" t="s">
        <v>832</v>
      </c>
      <c r="E89" s="7" t="s">
        <v>833</v>
      </c>
      <c r="F89" s="7" t="s">
        <v>834</v>
      </c>
      <c r="G89" s="41" t="s">
        <v>835</v>
      </c>
      <c r="H89" s="2">
        <v>5</v>
      </c>
      <c r="I89" s="2">
        <v>1</v>
      </c>
      <c r="J89" s="1">
        <v>5</v>
      </c>
      <c r="K89" s="1" t="s">
        <v>836</v>
      </c>
      <c r="L89" s="1">
        <v>5</v>
      </c>
      <c r="M89" s="1" t="s">
        <v>837</v>
      </c>
      <c r="N89" s="1">
        <v>5</v>
      </c>
      <c r="O89" s="1" t="s">
        <v>62</v>
      </c>
      <c r="P89" s="1" t="s">
        <v>52</v>
      </c>
      <c r="Q89" s="1">
        <v>5</v>
      </c>
      <c r="R89" s="1" t="s">
        <v>838</v>
      </c>
      <c r="S89" s="1" t="s">
        <v>32</v>
      </c>
      <c r="T89" s="1" t="s">
        <v>92</v>
      </c>
      <c r="U89" s="2"/>
      <c r="V89" s="2"/>
      <c r="W89" s="2"/>
      <c r="X89" s="2"/>
      <c r="Y89" s="2"/>
      <c r="Z89" s="2"/>
      <c r="AA89" s="2"/>
      <c r="AB89" s="2"/>
    </row>
    <row r="90" spans="1:28" ht="35.25" customHeight="1">
      <c r="A90" s="2" t="s">
        <v>20</v>
      </c>
      <c r="B90" s="2" t="s">
        <v>839</v>
      </c>
      <c r="C90" s="4" t="s">
        <v>795</v>
      </c>
      <c r="D90" s="7" t="s">
        <v>840</v>
      </c>
      <c r="E90" s="7" t="s">
        <v>841</v>
      </c>
      <c r="F90" s="7" t="s">
        <v>842</v>
      </c>
      <c r="G90" s="41" t="s">
        <v>843</v>
      </c>
      <c r="H90" s="2">
        <v>5</v>
      </c>
      <c r="I90" s="2">
        <v>1</v>
      </c>
      <c r="J90" s="1">
        <v>5</v>
      </c>
      <c r="K90" s="1" t="s">
        <v>844</v>
      </c>
      <c r="L90" s="1">
        <v>5</v>
      </c>
      <c r="M90" s="1" t="s">
        <v>845</v>
      </c>
      <c r="N90" s="1">
        <v>5</v>
      </c>
      <c r="O90" s="1" t="s">
        <v>260</v>
      </c>
      <c r="P90" s="1" t="s">
        <v>52</v>
      </c>
      <c r="Q90" s="1">
        <v>5</v>
      </c>
      <c r="R90" s="1" t="s">
        <v>846</v>
      </c>
      <c r="S90" s="1" t="s">
        <v>32</v>
      </c>
      <c r="T90" s="1" t="s">
        <v>847</v>
      </c>
      <c r="U90" s="2"/>
      <c r="V90" s="2"/>
      <c r="W90" s="2"/>
      <c r="X90" s="2"/>
      <c r="Y90" s="2"/>
      <c r="Z90" s="2"/>
      <c r="AA90" s="2"/>
      <c r="AB90" s="2"/>
    </row>
    <row r="91" spans="1:28" ht="35.25" customHeight="1">
      <c r="A91" s="2" t="s">
        <v>20</v>
      </c>
      <c r="B91" s="2" t="s">
        <v>848</v>
      </c>
      <c r="C91" s="4" t="s">
        <v>795</v>
      </c>
      <c r="D91" s="7" t="s">
        <v>849</v>
      </c>
      <c r="E91" s="7" t="s">
        <v>850</v>
      </c>
      <c r="F91" s="7" t="s">
        <v>851</v>
      </c>
      <c r="G91" s="41" t="s">
        <v>852</v>
      </c>
      <c r="H91" s="2">
        <v>5</v>
      </c>
      <c r="I91" s="2">
        <v>1</v>
      </c>
      <c r="J91" s="1">
        <v>5</v>
      </c>
      <c r="K91" s="1" t="s">
        <v>853</v>
      </c>
      <c r="L91" s="1">
        <v>5</v>
      </c>
      <c r="M91" s="1" t="s">
        <v>854</v>
      </c>
      <c r="N91" s="1">
        <v>5</v>
      </c>
      <c r="O91" s="1" t="s">
        <v>855</v>
      </c>
      <c r="P91" s="1" t="s">
        <v>52</v>
      </c>
      <c r="Q91" s="1">
        <v>5</v>
      </c>
      <c r="R91" s="1" t="s">
        <v>856</v>
      </c>
      <c r="S91" s="1" t="s">
        <v>32</v>
      </c>
      <c r="T91" s="1" t="s">
        <v>92</v>
      </c>
      <c r="U91" s="2"/>
      <c r="V91" s="2"/>
      <c r="W91" s="2"/>
      <c r="X91" s="2"/>
      <c r="Y91" s="2"/>
      <c r="Z91" s="2"/>
      <c r="AA91" s="2"/>
      <c r="AB91" s="2"/>
    </row>
    <row r="92" spans="1:28" ht="35.25" customHeight="1">
      <c r="A92" s="2" t="s">
        <v>20</v>
      </c>
      <c r="B92" s="2" t="s">
        <v>857</v>
      </c>
      <c r="C92" s="4" t="s">
        <v>795</v>
      </c>
      <c r="D92" s="7" t="s">
        <v>858</v>
      </c>
      <c r="E92" s="7" t="s">
        <v>859</v>
      </c>
      <c r="F92" s="7" t="s">
        <v>860</v>
      </c>
      <c r="G92" s="41" t="s">
        <v>861</v>
      </c>
      <c r="H92" s="2">
        <v>5</v>
      </c>
      <c r="I92" s="2">
        <v>1</v>
      </c>
      <c r="J92" s="1">
        <v>5</v>
      </c>
      <c r="K92" s="1" t="s">
        <v>862</v>
      </c>
      <c r="L92" s="1">
        <v>5</v>
      </c>
      <c r="M92" s="1" t="s">
        <v>863</v>
      </c>
      <c r="N92" s="1">
        <v>5</v>
      </c>
      <c r="O92" s="1" t="s">
        <v>62</v>
      </c>
      <c r="P92" s="1" t="s">
        <v>52</v>
      </c>
      <c r="Q92" s="1">
        <v>5</v>
      </c>
      <c r="R92" s="1" t="s">
        <v>864</v>
      </c>
      <c r="S92" s="1" t="s">
        <v>32</v>
      </c>
      <c r="T92" s="1" t="s">
        <v>865</v>
      </c>
      <c r="U92" s="2"/>
      <c r="V92" s="2"/>
      <c r="W92" s="2"/>
      <c r="X92" s="2"/>
      <c r="Y92" s="2"/>
      <c r="Z92" s="2"/>
      <c r="AA92" s="2"/>
      <c r="AB92" s="2"/>
    </row>
    <row r="93" spans="1:28" ht="35.25" customHeight="1">
      <c r="A93" s="2" t="s">
        <v>20</v>
      </c>
      <c r="B93" s="2" t="s">
        <v>866</v>
      </c>
      <c r="C93" s="4" t="s">
        <v>795</v>
      </c>
      <c r="D93" s="7" t="s">
        <v>867</v>
      </c>
      <c r="E93" s="7" t="s">
        <v>868</v>
      </c>
      <c r="F93" s="7" t="s">
        <v>869</v>
      </c>
      <c r="G93" s="41" t="s">
        <v>870</v>
      </c>
      <c r="H93" s="2">
        <v>3</v>
      </c>
      <c r="I93" s="2">
        <v>1</v>
      </c>
      <c r="J93" s="1">
        <v>3</v>
      </c>
      <c r="K93" s="1" t="s">
        <v>871</v>
      </c>
      <c r="L93" s="1">
        <v>5</v>
      </c>
      <c r="M93" s="1" t="s">
        <v>872</v>
      </c>
      <c r="N93" s="1">
        <v>5</v>
      </c>
      <c r="O93" s="1" t="s">
        <v>62</v>
      </c>
      <c r="P93" s="1" t="s">
        <v>52</v>
      </c>
      <c r="Q93" s="1">
        <v>3</v>
      </c>
      <c r="R93" s="1" t="s">
        <v>873</v>
      </c>
      <c r="S93" s="1" t="s">
        <v>32</v>
      </c>
      <c r="T93" s="1" t="s">
        <v>874</v>
      </c>
      <c r="U93" s="2"/>
      <c r="V93" s="2"/>
      <c r="W93" s="2"/>
      <c r="X93" s="2"/>
      <c r="Y93" s="2"/>
      <c r="Z93" s="2"/>
      <c r="AA93" s="2"/>
      <c r="AB93" s="2"/>
    </row>
    <row r="94" spans="1:28" ht="35.25" customHeight="1">
      <c r="A94" s="2" t="s">
        <v>20</v>
      </c>
      <c r="B94" s="2" t="s">
        <v>875</v>
      </c>
      <c r="C94" s="4" t="s">
        <v>795</v>
      </c>
      <c r="D94" s="7" t="s">
        <v>876</v>
      </c>
      <c r="E94" s="7" t="s">
        <v>877</v>
      </c>
      <c r="F94" s="7" t="s">
        <v>878</v>
      </c>
      <c r="G94" s="41" t="s">
        <v>879</v>
      </c>
      <c r="H94" s="2">
        <v>1</v>
      </c>
      <c r="I94" s="2">
        <v>0</v>
      </c>
      <c r="J94" s="1">
        <v>1</v>
      </c>
      <c r="K94" s="1" t="s">
        <v>880</v>
      </c>
      <c r="L94" s="1">
        <v>3</v>
      </c>
      <c r="M94" s="1" t="s">
        <v>881</v>
      </c>
      <c r="N94" s="1">
        <v>5</v>
      </c>
      <c r="O94" s="1" t="s">
        <v>62</v>
      </c>
      <c r="P94" s="1" t="s">
        <v>52</v>
      </c>
      <c r="Q94" s="1">
        <v>1</v>
      </c>
      <c r="R94" s="1" t="s">
        <v>882</v>
      </c>
      <c r="S94" s="1" t="s">
        <v>243</v>
      </c>
      <c r="T94" s="1" t="s">
        <v>883</v>
      </c>
      <c r="U94" s="2"/>
      <c r="V94" s="2"/>
      <c r="W94" s="2"/>
      <c r="X94" s="2"/>
      <c r="Y94" s="2"/>
      <c r="Z94" s="2"/>
      <c r="AA94" s="2"/>
      <c r="AB94" s="2"/>
    </row>
    <row r="95" spans="1:28" ht="35.25" customHeight="1">
      <c r="A95" s="2" t="s">
        <v>20</v>
      </c>
      <c r="B95" s="2" t="s">
        <v>884</v>
      </c>
      <c r="C95" s="2" t="s">
        <v>382</v>
      </c>
      <c r="D95" s="5" t="s">
        <v>885</v>
      </c>
      <c r="E95" s="5" t="s">
        <v>886</v>
      </c>
      <c r="F95" s="5" t="s">
        <v>887</v>
      </c>
      <c r="G95" s="41" t="s">
        <v>888</v>
      </c>
      <c r="H95" s="2">
        <v>5</v>
      </c>
      <c r="I95" s="2">
        <v>1</v>
      </c>
      <c r="J95" s="1">
        <v>5</v>
      </c>
      <c r="K95" s="1" t="s">
        <v>889</v>
      </c>
      <c r="L95" s="1">
        <v>5</v>
      </c>
      <c r="M95" s="1" t="s">
        <v>890</v>
      </c>
      <c r="N95" s="1">
        <v>5</v>
      </c>
      <c r="O95" s="1" t="s">
        <v>51</v>
      </c>
      <c r="P95" s="1" t="s">
        <v>52</v>
      </c>
      <c r="Q95" s="1">
        <v>5</v>
      </c>
      <c r="R95" s="1" t="s">
        <v>891</v>
      </c>
      <c r="S95" s="1" t="s">
        <v>32</v>
      </c>
      <c r="T95" s="1" t="s">
        <v>92</v>
      </c>
      <c r="U95" s="2"/>
      <c r="V95" s="2"/>
      <c r="W95" s="2"/>
      <c r="X95" s="2"/>
      <c r="Y95" s="2"/>
      <c r="Z95" s="2"/>
      <c r="AA95" s="2"/>
      <c r="AB95" s="2"/>
    </row>
    <row r="96" spans="1:28" ht="35.25" customHeight="1">
      <c r="A96" s="2" t="s">
        <v>20</v>
      </c>
      <c r="B96" s="2" t="s">
        <v>892</v>
      </c>
      <c r="C96" s="2" t="s">
        <v>382</v>
      </c>
      <c r="D96" s="5" t="s">
        <v>893</v>
      </c>
      <c r="E96" s="5" t="s">
        <v>894</v>
      </c>
      <c r="F96" s="5" t="s">
        <v>895</v>
      </c>
      <c r="G96" s="41" t="s">
        <v>896</v>
      </c>
      <c r="H96" s="2">
        <v>5</v>
      </c>
      <c r="I96" s="2">
        <v>1</v>
      </c>
      <c r="J96" s="1">
        <v>5</v>
      </c>
      <c r="K96" s="1" t="s">
        <v>897</v>
      </c>
      <c r="L96" s="1">
        <v>5</v>
      </c>
      <c r="M96" s="1" t="s">
        <v>898</v>
      </c>
      <c r="N96" s="1">
        <v>5</v>
      </c>
      <c r="O96" s="1" t="s">
        <v>899</v>
      </c>
      <c r="P96" s="1" t="s">
        <v>52</v>
      </c>
      <c r="Q96" s="1">
        <v>5</v>
      </c>
      <c r="R96" s="1" t="s">
        <v>900</v>
      </c>
      <c r="S96" s="1" t="s">
        <v>32</v>
      </c>
      <c r="T96" s="1" t="s">
        <v>92</v>
      </c>
      <c r="U96" s="2"/>
      <c r="V96" s="2"/>
      <c r="W96" s="2"/>
      <c r="X96" s="2"/>
      <c r="Y96" s="2"/>
      <c r="Z96" s="2"/>
      <c r="AA96" s="2"/>
      <c r="AB96" s="2"/>
    </row>
    <row r="97" spans="1:28" ht="35.25" customHeight="1">
      <c r="A97" s="2" t="s">
        <v>20</v>
      </c>
      <c r="B97" s="2" t="s">
        <v>901</v>
      </c>
      <c r="C97" s="2" t="s">
        <v>382</v>
      </c>
      <c r="D97" s="5" t="s">
        <v>902</v>
      </c>
      <c r="E97" s="5" t="s">
        <v>903</v>
      </c>
      <c r="F97" s="5" t="s">
        <v>904</v>
      </c>
      <c r="G97" s="41" t="s">
        <v>905</v>
      </c>
      <c r="H97" s="2">
        <v>5</v>
      </c>
      <c r="I97" s="2">
        <v>1</v>
      </c>
      <c r="J97" s="1">
        <v>5</v>
      </c>
      <c r="K97" s="1" t="s">
        <v>906</v>
      </c>
      <c r="L97" s="1">
        <v>5</v>
      </c>
      <c r="M97" s="1" t="s">
        <v>907</v>
      </c>
      <c r="N97" s="1">
        <v>5</v>
      </c>
      <c r="O97" s="1" t="s">
        <v>51</v>
      </c>
      <c r="P97" s="1" t="s">
        <v>52</v>
      </c>
      <c r="Q97" s="1">
        <v>5</v>
      </c>
      <c r="R97" s="1" t="s">
        <v>908</v>
      </c>
      <c r="S97" s="1" t="s">
        <v>32</v>
      </c>
      <c r="T97" s="1" t="s">
        <v>909</v>
      </c>
      <c r="U97" s="2"/>
      <c r="V97" s="2"/>
      <c r="W97" s="2"/>
      <c r="X97" s="2"/>
      <c r="Y97" s="2"/>
      <c r="Z97" s="2"/>
      <c r="AA97" s="2"/>
      <c r="AB97" s="2"/>
    </row>
    <row r="98" spans="1:28" ht="35.25" customHeight="1">
      <c r="A98" s="2" t="s">
        <v>20</v>
      </c>
      <c r="B98" s="2" t="s">
        <v>910</v>
      </c>
      <c r="C98" s="2" t="s">
        <v>382</v>
      </c>
      <c r="D98" s="5" t="s">
        <v>911</v>
      </c>
      <c r="E98" s="5" t="s">
        <v>912</v>
      </c>
      <c r="F98" s="5" t="s">
        <v>913</v>
      </c>
      <c r="G98" s="41" t="s">
        <v>914</v>
      </c>
      <c r="H98" s="2">
        <v>3</v>
      </c>
      <c r="I98" s="2">
        <v>1</v>
      </c>
      <c r="J98" s="1">
        <v>5</v>
      </c>
      <c r="K98" s="1" t="s">
        <v>915</v>
      </c>
      <c r="L98" s="1">
        <v>3</v>
      </c>
      <c r="M98" s="1" t="s">
        <v>916</v>
      </c>
      <c r="N98" s="1">
        <v>5</v>
      </c>
      <c r="O98" s="1" t="s">
        <v>917</v>
      </c>
      <c r="P98" s="1" t="s">
        <v>52</v>
      </c>
      <c r="Q98" s="1">
        <v>5</v>
      </c>
      <c r="R98" s="1" t="s">
        <v>918</v>
      </c>
      <c r="S98" s="1" t="s">
        <v>32</v>
      </c>
      <c r="T98" s="1" t="s">
        <v>919</v>
      </c>
      <c r="U98" s="2"/>
      <c r="V98" s="2"/>
      <c r="W98" s="2"/>
      <c r="X98" s="2"/>
      <c r="Y98" s="2"/>
      <c r="Z98" s="2"/>
      <c r="AA98" s="2"/>
      <c r="AB98" s="2"/>
    </row>
    <row r="99" spans="1:28" ht="35.25" customHeight="1">
      <c r="A99" s="2" t="s">
        <v>20</v>
      </c>
      <c r="B99" s="2" t="s">
        <v>920</v>
      </c>
      <c r="C99" s="2" t="s">
        <v>382</v>
      </c>
      <c r="D99" s="5" t="s">
        <v>921</v>
      </c>
      <c r="E99" s="5" t="s">
        <v>922</v>
      </c>
      <c r="F99" s="5" t="s">
        <v>923</v>
      </c>
      <c r="G99" s="41" t="s">
        <v>924</v>
      </c>
      <c r="H99" s="2">
        <v>3</v>
      </c>
      <c r="I99" s="2">
        <v>1</v>
      </c>
      <c r="J99" s="1">
        <v>5</v>
      </c>
      <c r="K99" s="1" t="s">
        <v>925</v>
      </c>
      <c r="L99" s="1">
        <v>3</v>
      </c>
      <c r="M99" s="1" t="s">
        <v>926</v>
      </c>
      <c r="N99" s="1">
        <v>5</v>
      </c>
      <c r="O99" s="1" t="s">
        <v>62</v>
      </c>
      <c r="P99" s="1" t="s">
        <v>52</v>
      </c>
      <c r="Q99" s="1">
        <v>5</v>
      </c>
      <c r="R99" s="1" t="s">
        <v>927</v>
      </c>
      <c r="S99" s="1" t="s">
        <v>32</v>
      </c>
      <c r="T99" s="1" t="s">
        <v>928</v>
      </c>
      <c r="U99" s="2"/>
      <c r="V99" s="2"/>
      <c r="W99" s="2"/>
      <c r="X99" s="2"/>
      <c r="Y99" s="2"/>
      <c r="Z99" s="2"/>
      <c r="AA99" s="2"/>
      <c r="AB99" s="2"/>
    </row>
    <row r="100" spans="1:28" ht="35.25" customHeight="1">
      <c r="A100" s="2"/>
      <c r="B100" s="2"/>
      <c r="C100" s="2"/>
      <c r="E100" s="2"/>
      <c r="F100" s="2"/>
      <c r="G100" s="43"/>
      <c r="H100" s="2"/>
      <c r="I100" s="2"/>
      <c r="J100" s="2"/>
      <c r="K100" s="2"/>
      <c r="L100" s="2"/>
      <c r="M100" s="2"/>
      <c r="N100" s="2"/>
      <c r="O100" s="2"/>
      <c r="P100" s="2"/>
      <c r="Q100" s="2"/>
      <c r="R100" s="2"/>
      <c r="S100" s="2"/>
      <c r="T100" s="2"/>
      <c r="U100" s="2"/>
      <c r="V100" s="2"/>
      <c r="W100" s="2"/>
      <c r="X100" s="2"/>
      <c r="Y100" s="2"/>
      <c r="Z100" s="2"/>
      <c r="AA100" s="2"/>
      <c r="AB100" s="2"/>
    </row>
    <row r="101" spans="1:28" ht="35.25" customHeight="1">
      <c r="A101" s="2"/>
      <c r="B101" s="2"/>
      <c r="C101" s="2"/>
      <c r="E101" s="2"/>
      <c r="F101" s="2"/>
      <c r="G101" s="43"/>
      <c r="H101" s="2"/>
      <c r="I101" s="2"/>
      <c r="J101" s="2"/>
      <c r="K101" s="2"/>
      <c r="L101" s="2"/>
      <c r="M101" s="2"/>
      <c r="N101" s="2"/>
      <c r="O101" s="2"/>
      <c r="P101" s="2"/>
      <c r="Q101" s="2"/>
      <c r="R101" s="2"/>
      <c r="S101" s="2"/>
      <c r="T101" s="2"/>
      <c r="U101" s="2"/>
      <c r="V101" s="2"/>
      <c r="W101" s="2"/>
      <c r="X101" s="2"/>
      <c r="Y101" s="2"/>
      <c r="Z101" s="2"/>
      <c r="AA101" s="2"/>
      <c r="AB101" s="2"/>
    </row>
    <row r="102" spans="1:28" ht="35.25" customHeight="1">
      <c r="A102" s="2"/>
      <c r="B102" s="2"/>
      <c r="C102" s="2"/>
      <c r="E102" s="2"/>
      <c r="F102" s="2"/>
      <c r="G102" s="43"/>
      <c r="H102" s="2"/>
      <c r="I102" s="2"/>
      <c r="J102" s="2"/>
      <c r="K102" s="2"/>
      <c r="L102" s="2"/>
      <c r="M102" s="2"/>
      <c r="N102" s="2"/>
      <c r="O102" s="2"/>
      <c r="P102" s="2"/>
      <c r="Q102" s="2"/>
      <c r="R102" s="2"/>
      <c r="S102" s="2"/>
      <c r="T102" s="2"/>
      <c r="U102" s="2"/>
      <c r="V102" s="2"/>
      <c r="W102" s="2"/>
      <c r="X102" s="2"/>
      <c r="Y102" s="2"/>
      <c r="Z102" s="2"/>
      <c r="AA102" s="2"/>
      <c r="AB102" s="2"/>
    </row>
    <row r="103" spans="1:28" ht="35.25" customHeight="1">
      <c r="A103" s="2"/>
      <c r="B103" s="2"/>
      <c r="C103" s="2"/>
      <c r="E103" s="2"/>
      <c r="F103" s="2"/>
      <c r="G103" s="43"/>
      <c r="H103" s="2"/>
      <c r="I103" s="2"/>
      <c r="J103" s="2"/>
      <c r="K103" s="2"/>
      <c r="L103" s="2"/>
      <c r="M103" s="2"/>
      <c r="N103" s="2"/>
      <c r="O103" s="2"/>
      <c r="P103" s="2"/>
      <c r="Q103" s="2"/>
      <c r="R103" s="2"/>
      <c r="S103" s="2"/>
      <c r="T103" s="2"/>
      <c r="U103" s="2"/>
      <c r="V103" s="2"/>
      <c r="W103" s="2"/>
      <c r="X103" s="2"/>
      <c r="Y103" s="2"/>
      <c r="Z103" s="2"/>
      <c r="AA103" s="2"/>
      <c r="AB103" s="2"/>
    </row>
    <row r="104" spans="1:28" ht="35.25" customHeight="1">
      <c r="A104" s="2"/>
      <c r="B104" s="2"/>
      <c r="C104" s="2"/>
      <c r="E104" s="2"/>
      <c r="F104" s="2"/>
      <c r="G104" s="43"/>
      <c r="H104" s="2"/>
      <c r="I104" s="2"/>
      <c r="J104" s="2"/>
      <c r="K104" s="2"/>
      <c r="L104" s="2"/>
      <c r="M104" s="2"/>
      <c r="N104" s="2"/>
      <c r="O104" s="2"/>
      <c r="P104" s="2"/>
      <c r="Q104" s="2"/>
      <c r="R104" s="2"/>
      <c r="S104" s="2"/>
      <c r="T104" s="2"/>
      <c r="U104" s="2"/>
      <c r="V104" s="2"/>
      <c r="W104" s="2"/>
      <c r="X104" s="2"/>
      <c r="Y104" s="2"/>
      <c r="Z104" s="2"/>
      <c r="AA104" s="2"/>
      <c r="AB104" s="2"/>
    </row>
    <row r="105" spans="1:28" ht="35.25" customHeight="1">
      <c r="A105" s="2"/>
      <c r="B105" s="2"/>
      <c r="C105" s="2"/>
      <c r="D105" s="2"/>
      <c r="E105" s="2"/>
      <c r="F105" s="2"/>
      <c r="G105" s="43"/>
      <c r="H105" s="2"/>
      <c r="I105" s="2"/>
      <c r="J105" s="2"/>
      <c r="K105" s="2"/>
      <c r="L105" s="2"/>
      <c r="M105" s="2"/>
      <c r="N105" s="2"/>
      <c r="O105" s="2"/>
      <c r="P105" s="2"/>
      <c r="Q105" s="2"/>
      <c r="R105" s="2"/>
      <c r="S105" s="2"/>
      <c r="T105" s="2"/>
      <c r="U105" s="2"/>
      <c r="V105" s="2"/>
      <c r="W105" s="2"/>
      <c r="X105" s="2"/>
      <c r="Y105" s="2"/>
      <c r="Z105" s="2"/>
      <c r="AA105" s="2"/>
      <c r="AB105" s="2"/>
    </row>
    <row r="106" spans="1:28" ht="35.25" customHeight="1">
      <c r="A106" s="2"/>
      <c r="B106" s="2"/>
      <c r="C106" s="2"/>
      <c r="D106" s="2"/>
      <c r="E106" s="2"/>
      <c r="F106" s="2"/>
      <c r="G106" s="43"/>
      <c r="H106" s="2"/>
      <c r="I106" s="2"/>
      <c r="J106" s="2"/>
      <c r="K106" s="2"/>
      <c r="L106" s="2"/>
      <c r="M106" s="2"/>
      <c r="N106" s="2"/>
      <c r="O106" s="2"/>
      <c r="P106" s="2"/>
      <c r="Q106" s="2"/>
      <c r="R106" s="2"/>
      <c r="S106" s="2"/>
      <c r="T106" s="2"/>
      <c r="U106" s="2"/>
      <c r="V106" s="2"/>
      <c r="W106" s="2"/>
      <c r="X106" s="2"/>
      <c r="Y106" s="2"/>
      <c r="Z106" s="2"/>
      <c r="AA106" s="2"/>
      <c r="AB106" s="2"/>
    </row>
    <row r="107" spans="1:28" ht="35.25" customHeight="1">
      <c r="A107" s="2"/>
      <c r="B107" s="2"/>
      <c r="C107" s="2"/>
      <c r="D107" s="2"/>
      <c r="E107" s="2"/>
      <c r="F107" s="2"/>
      <c r="G107" s="43"/>
      <c r="H107" s="2"/>
      <c r="I107" s="2"/>
      <c r="J107" s="2"/>
      <c r="K107" s="2"/>
      <c r="L107" s="2"/>
      <c r="M107" s="2"/>
      <c r="N107" s="2"/>
      <c r="O107" s="2"/>
      <c r="P107" s="2"/>
      <c r="Q107" s="2"/>
      <c r="R107" s="2"/>
      <c r="S107" s="2"/>
      <c r="T107" s="2"/>
      <c r="U107" s="2"/>
      <c r="V107" s="2"/>
      <c r="W107" s="2"/>
      <c r="X107" s="2"/>
      <c r="Y107" s="2"/>
      <c r="Z107" s="2"/>
      <c r="AA107" s="2"/>
      <c r="AB107" s="2"/>
    </row>
    <row r="108" spans="1:28" ht="35.25" customHeight="1">
      <c r="A108" s="2"/>
      <c r="B108" s="2"/>
      <c r="C108" s="2"/>
      <c r="D108" s="2"/>
      <c r="E108" s="2"/>
      <c r="F108" s="2"/>
      <c r="G108" s="43"/>
      <c r="H108" s="2"/>
      <c r="I108" s="2"/>
      <c r="J108" s="2"/>
      <c r="K108" s="2"/>
      <c r="L108" s="2"/>
      <c r="M108" s="2"/>
      <c r="N108" s="2"/>
      <c r="O108" s="2"/>
      <c r="P108" s="2"/>
      <c r="Q108" s="2"/>
      <c r="R108" s="2"/>
      <c r="S108" s="2"/>
      <c r="T108" s="2"/>
      <c r="U108" s="2"/>
      <c r="V108" s="2"/>
      <c r="W108" s="2"/>
      <c r="X108" s="2"/>
      <c r="Y108" s="2"/>
      <c r="Z108" s="2"/>
      <c r="AA108" s="2"/>
      <c r="AB108" s="2"/>
    </row>
    <row r="109" spans="1:28" ht="35.25" customHeight="1">
      <c r="A109" s="2"/>
      <c r="B109" s="2"/>
      <c r="C109" s="2"/>
      <c r="D109" s="2"/>
      <c r="E109" s="2"/>
      <c r="F109" s="2"/>
      <c r="G109" s="43"/>
      <c r="H109" s="2"/>
      <c r="I109" s="2"/>
      <c r="J109" s="2"/>
      <c r="K109" s="2"/>
      <c r="L109" s="2"/>
      <c r="M109" s="2"/>
      <c r="N109" s="2"/>
      <c r="O109" s="2"/>
      <c r="P109" s="2"/>
      <c r="Q109" s="2"/>
      <c r="R109" s="2"/>
      <c r="S109" s="2"/>
      <c r="T109" s="2"/>
      <c r="U109" s="2"/>
      <c r="V109" s="2"/>
      <c r="W109" s="2"/>
      <c r="X109" s="2"/>
      <c r="Y109" s="2"/>
      <c r="Z109" s="2"/>
      <c r="AA109" s="2"/>
      <c r="AB109" s="2"/>
    </row>
    <row r="110" spans="1:28" ht="35.25" customHeight="1">
      <c r="A110" s="2"/>
      <c r="B110" s="2"/>
      <c r="C110" s="2"/>
      <c r="D110" s="2"/>
      <c r="E110" s="2"/>
      <c r="F110" s="2"/>
      <c r="G110" s="43"/>
      <c r="H110" s="2"/>
      <c r="I110" s="2"/>
      <c r="J110" s="2"/>
      <c r="K110" s="2"/>
      <c r="L110" s="2"/>
      <c r="M110" s="2"/>
      <c r="N110" s="2"/>
      <c r="O110" s="2"/>
      <c r="P110" s="2"/>
      <c r="Q110" s="2"/>
      <c r="R110" s="2"/>
      <c r="S110" s="2"/>
      <c r="T110" s="2"/>
      <c r="U110" s="2"/>
      <c r="V110" s="2"/>
      <c r="W110" s="2"/>
      <c r="X110" s="2"/>
      <c r="Y110" s="2"/>
      <c r="Z110" s="2"/>
      <c r="AA110" s="2"/>
      <c r="AB110" s="2"/>
    </row>
    <row r="111" spans="1:28" ht="35.25" customHeight="1">
      <c r="A111" s="2"/>
      <c r="B111" s="2"/>
      <c r="C111" s="2"/>
      <c r="D111" s="2"/>
      <c r="E111" s="2"/>
      <c r="F111" s="2"/>
      <c r="G111" s="43"/>
      <c r="H111" s="2"/>
      <c r="I111" s="2"/>
      <c r="J111" s="2"/>
      <c r="K111" s="2"/>
      <c r="L111" s="2"/>
      <c r="M111" s="2"/>
      <c r="N111" s="2"/>
      <c r="O111" s="2"/>
      <c r="P111" s="2"/>
      <c r="Q111" s="2"/>
      <c r="R111" s="2"/>
      <c r="S111" s="2"/>
      <c r="T111" s="2"/>
      <c r="U111" s="2"/>
      <c r="V111" s="2"/>
      <c r="W111" s="2"/>
      <c r="X111" s="2"/>
      <c r="Y111" s="2"/>
      <c r="Z111" s="2"/>
      <c r="AA111" s="2"/>
      <c r="AB111" s="2"/>
    </row>
    <row r="112" spans="1:28" ht="35.25" customHeight="1">
      <c r="A112" s="2"/>
      <c r="B112" s="2"/>
      <c r="C112" s="2"/>
      <c r="D112" s="2"/>
      <c r="E112" s="2"/>
      <c r="F112" s="2"/>
      <c r="G112" s="43"/>
      <c r="H112" s="2"/>
      <c r="I112" s="2"/>
      <c r="J112" s="2"/>
      <c r="K112" s="2"/>
      <c r="L112" s="2"/>
      <c r="M112" s="2"/>
      <c r="N112" s="2"/>
      <c r="O112" s="2"/>
      <c r="P112" s="2"/>
      <c r="Q112" s="2"/>
      <c r="R112" s="2"/>
      <c r="S112" s="2"/>
      <c r="T112" s="2"/>
      <c r="U112" s="2"/>
      <c r="V112" s="2"/>
      <c r="W112" s="2"/>
      <c r="X112" s="2"/>
      <c r="Y112" s="2"/>
      <c r="Z112" s="2"/>
      <c r="AA112" s="2"/>
      <c r="AB112" s="2"/>
    </row>
    <row r="113" spans="1:28" ht="35.25" customHeight="1">
      <c r="A113" s="2"/>
      <c r="B113" s="2"/>
      <c r="C113" s="2"/>
      <c r="D113" s="2"/>
      <c r="E113" s="2"/>
      <c r="F113" s="2"/>
      <c r="G113" s="43"/>
      <c r="H113" s="2"/>
      <c r="I113" s="2"/>
      <c r="J113" s="2"/>
      <c r="K113" s="2"/>
      <c r="L113" s="2"/>
      <c r="M113" s="2"/>
      <c r="N113" s="2"/>
      <c r="O113" s="2"/>
      <c r="P113" s="2"/>
      <c r="Q113" s="2"/>
      <c r="R113" s="2"/>
      <c r="S113" s="2"/>
      <c r="T113" s="2"/>
      <c r="U113" s="2"/>
      <c r="V113" s="2"/>
      <c r="W113" s="2"/>
      <c r="X113" s="2"/>
      <c r="Y113" s="2"/>
      <c r="Z113" s="2"/>
      <c r="AA113" s="2"/>
      <c r="AB113" s="2"/>
    </row>
    <row r="114" spans="1:28" ht="35.25" customHeight="1">
      <c r="A114" s="2"/>
      <c r="B114" s="2"/>
      <c r="C114" s="2"/>
      <c r="D114" s="2"/>
      <c r="E114" s="2"/>
      <c r="F114" s="2"/>
      <c r="G114" s="43"/>
      <c r="H114" s="2"/>
      <c r="I114" s="2"/>
      <c r="J114" s="2"/>
      <c r="K114" s="2"/>
      <c r="L114" s="2"/>
      <c r="M114" s="2"/>
      <c r="N114" s="2"/>
      <c r="O114" s="2"/>
      <c r="P114" s="2"/>
      <c r="Q114" s="2"/>
      <c r="R114" s="2"/>
      <c r="S114" s="2"/>
      <c r="T114" s="2"/>
      <c r="U114" s="2"/>
      <c r="V114" s="2"/>
      <c r="W114" s="2"/>
      <c r="X114" s="2"/>
      <c r="Y114" s="2"/>
      <c r="Z114" s="2"/>
      <c r="AA114" s="2"/>
      <c r="AB114" s="2"/>
    </row>
    <row r="115" spans="1:28" ht="35.25" customHeight="1">
      <c r="A115" s="2"/>
      <c r="B115" s="2"/>
      <c r="C115" s="2"/>
      <c r="D115" s="2"/>
      <c r="E115" s="2"/>
      <c r="F115" s="2"/>
      <c r="G115" s="43"/>
      <c r="H115" s="2"/>
      <c r="I115" s="2"/>
      <c r="J115" s="2"/>
      <c r="K115" s="2"/>
      <c r="L115" s="2"/>
      <c r="M115" s="2"/>
      <c r="N115" s="2"/>
      <c r="O115" s="2"/>
      <c r="P115" s="2"/>
      <c r="Q115" s="2"/>
      <c r="R115" s="2"/>
      <c r="S115" s="2"/>
      <c r="T115" s="2"/>
      <c r="U115" s="2"/>
      <c r="V115" s="2"/>
      <c r="W115" s="2"/>
      <c r="X115" s="2"/>
      <c r="Y115" s="2"/>
      <c r="Z115" s="2"/>
      <c r="AA115" s="2"/>
      <c r="AB115" s="2"/>
    </row>
    <row r="116" spans="1:28" ht="35.25" customHeight="1">
      <c r="A116" s="2"/>
      <c r="B116" s="2"/>
      <c r="C116" s="2"/>
      <c r="D116" s="2"/>
      <c r="E116" s="2"/>
      <c r="F116" s="2"/>
      <c r="G116" s="43"/>
      <c r="H116" s="2"/>
      <c r="I116" s="2"/>
      <c r="J116" s="2"/>
      <c r="K116" s="2"/>
      <c r="L116" s="2"/>
      <c r="M116" s="2"/>
      <c r="N116" s="2"/>
      <c r="O116" s="2"/>
      <c r="P116" s="2"/>
      <c r="Q116" s="2"/>
      <c r="R116" s="2"/>
      <c r="S116" s="2"/>
      <c r="T116" s="2"/>
      <c r="U116" s="2"/>
      <c r="V116" s="2"/>
      <c r="W116" s="2"/>
      <c r="X116" s="2"/>
      <c r="Y116" s="2"/>
      <c r="Z116" s="2"/>
      <c r="AA116" s="2"/>
      <c r="AB116" s="2"/>
    </row>
    <row r="117" spans="1:28" ht="35.25" customHeight="1">
      <c r="A117" s="2"/>
      <c r="B117" s="2"/>
      <c r="C117" s="2"/>
      <c r="D117" s="2"/>
      <c r="E117" s="2"/>
      <c r="F117" s="2"/>
      <c r="G117" s="43"/>
      <c r="H117" s="2"/>
      <c r="I117" s="2"/>
      <c r="J117" s="2"/>
      <c r="K117" s="2"/>
      <c r="L117" s="2"/>
      <c r="M117" s="2"/>
      <c r="N117" s="2"/>
      <c r="O117" s="2"/>
      <c r="P117" s="2"/>
      <c r="Q117" s="2"/>
      <c r="R117" s="2"/>
      <c r="S117" s="2"/>
      <c r="T117" s="2"/>
      <c r="U117" s="2"/>
      <c r="V117" s="2"/>
      <c r="W117" s="2"/>
      <c r="X117" s="2"/>
      <c r="Y117" s="2"/>
      <c r="Z117" s="2"/>
      <c r="AA117" s="2"/>
      <c r="AB117" s="2"/>
    </row>
    <row r="118" spans="1:28" ht="35.25" customHeight="1">
      <c r="A118" s="2"/>
      <c r="B118" s="2"/>
      <c r="C118" s="2"/>
      <c r="D118" s="2"/>
      <c r="E118" s="2"/>
      <c r="F118" s="2"/>
      <c r="G118" s="43"/>
      <c r="H118" s="2"/>
      <c r="I118" s="2"/>
      <c r="J118" s="2"/>
      <c r="K118" s="2"/>
      <c r="L118" s="2"/>
      <c r="M118" s="2"/>
      <c r="N118" s="2"/>
      <c r="O118" s="2"/>
      <c r="P118" s="2"/>
      <c r="Q118" s="2"/>
      <c r="R118" s="2"/>
      <c r="S118" s="2"/>
      <c r="T118" s="2"/>
      <c r="U118" s="2"/>
      <c r="V118" s="2"/>
      <c r="W118" s="2"/>
      <c r="X118" s="2"/>
      <c r="Y118" s="2"/>
      <c r="Z118" s="2"/>
      <c r="AA118" s="2"/>
      <c r="AB118" s="2"/>
    </row>
    <row r="119" spans="1:28" ht="35.25" customHeight="1">
      <c r="A119" s="2"/>
      <c r="B119" s="2"/>
      <c r="C119" s="2"/>
      <c r="D119" s="2"/>
      <c r="E119" s="2"/>
      <c r="F119" s="2"/>
      <c r="G119" s="43"/>
      <c r="H119" s="2"/>
      <c r="I119" s="2"/>
      <c r="J119" s="2"/>
      <c r="K119" s="2"/>
      <c r="L119" s="2"/>
      <c r="M119" s="2"/>
      <c r="N119" s="2"/>
      <c r="O119" s="2"/>
      <c r="P119" s="2"/>
      <c r="Q119" s="2"/>
      <c r="R119" s="2"/>
      <c r="S119" s="2"/>
      <c r="T119" s="2"/>
      <c r="U119" s="2"/>
      <c r="V119" s="2"/>
      <c r="W119" s="2"/>
      <c r="X119" s="2"/>
      <c r="Y119" s="2"/>
      <c r="Z119" s="2"/>
      <c r="AA119" s="2"/>
      <c r="AB119" s="2"/>
    </row>
    <row r="120" spans="1:28" ht="35.25" customHeight="1">
      <c r="A120" s="2"/>
      <c r="B120" s="2"/>
      <c r="C120" s="2"/>
      <c r="D120" s="2"/>
      <c r="E120" s="2"/>
      <c r="F120" s="2"/>
      <c r="G120" s="43"/>
      <c r="H120" s="2"/>
      <c r="I120" s="2"/>
      <c r="J120" s="2"/>
      <c r="K120" s="2"/>
      <c r="L120" s="2"/>
      <c r="M120" s="2"/>
      <c r="N120" s="2"/>
      <c r="O120" s="2"/>
      <c r="P120" s="2"/>
      <c r="Q120" s="2"/>
      <c r="R120" s="2"/>
      <c r="S120" s="2"/>
      <c r="T120" s="2"/>
      <c r="U120" s="2"/>
      <c r="V120" s="2"/>
      <c r="W120" s="2"/>
      <c r="X120" s="2"/>
      <c r="Y120" s="2"/>
      <c r="Z120" s="2"/>
      <c r="AA120" s="2"/>
      <c r="AB120" s="2"/>
    </row>
    <row r="121" spans="1:28" ht="35.25" customHeight="1">
      <c r="A121" s="2"/>
      <c r="B121" s="2"/>
      <c r="C121" s="2"/>
      <c r="D121" s="2"/>
      <c r="E121" s="2"/>
      <c r="F121" s="2"/>
      <c r="G121" s="43"/>
      <c r="H121" s="2"/>
      <c r="I121" s="2"/>
      <c r="J121" s="2"/>
      <c r="K121" s="2"/>
      <c r="L121" s="2"/>
      <c r="M121" s="2"/>
      <c r="N121" s="2"/>
      <c r="O121" s="2"/>
      <c r="P121" s="2"/>
      <c r="Q121" s="2"/>
      <c r="R121" s="2"/>
      <c r="S121" s="2"/>
      <c r="T121" s="2"/>
      <c r="U121" s="2"/>
      <c r="V121" s="2"/>
      <c r="W121" s="2"/>
      <c r="X121" s="2"/>
      <c r="Y121" s="2"/>
      <c r="Z121" s="2"/>
      <c r="AA121" s="2"/>
      <c r="AB121" s="2"/>
    </row>
    <row r="122" spans="1:28" ht="35.25" customHeight="1">
      <c r="A122" s="2"/>
      <c r="B122" s="2"/>
      <c r="C122" s="2"/>
      <c r="D122" s="2"/>
      <c r="E122" s="2"/>
      <c r="F122" s="2"/>
      <c r="G122" s="43"/>
      <c r="H122" s="2"/>
      <c r="I122" s="2"/>
      <c r="J122" s="2"/>
      <c r="K122" s="2"/>
      <c r="L122" s="2"/>
      <c r="M122" s="2"/>
      <c r="N122" s="2"/>
      <c r="O122" s="2"/>
      <c r="P122" s="2"/>
      <c r="Q122" s="2"/>
      <c r="R122" s="2"/>
      <c r="S122" s="2"/>
      <c r="T122" s="2"/>
      <c r="U122" s="2"/>
      <c r="V122" s="2"/>
      <c r="W122" s="2"/>
      <c r="X122" s="2"/>
      <c r="Y122" s="2"/>
      <c r="Z122" s="2"/>
      <c r="AA122" s="2"/>
      <c r="AB122" s="2"/>
    </row>
    <row r="123" spans="1:28" ht="35.25" customHeight="1">
      <c r="A123" s="2"/>
      <c r="B123" s="2"/>
      <c r="C123" s="2"/>
      <c r="D123" s="2"/>
      <c r="E123" s="2"/>
      <c r="F123" s="2"/>
      <c r="G123" s="43"/>
      <c r="H123" s="2"/>
      <c r="I123" s="2"/>
      <c r="J123" s="2"/>
      <c r="K123" s="2"/>
      <c r="L123" s="2"/>
      <c r="M123" s="2"/>
      <c r="N123" s="2"/>
      <c r="O123" s="2"/>
      <c r="P123" s="2"/>
      <c r="Q123" s="2"/>
      <c r="R123" s="2"/>
      <c r="S123" s="2"/>
      <c r="T123" s="2"/>
      <c r="U123" s="2"/>
      <c r="V123" s="2"/>
      <c r="W123" s="2"/>
      <c r="X123" s="2"/>
      <c r="Y123" s="2"/>
      <c r="Z123" s="2"/>
      <c r="AA123" s="2"/>
      <c r="AB123" s="2"/>
    </row>
    <row r="124" spans="1:28" ht="35.25" customHeight="1">
      <c r="A124" s="2"/>
      <c r="B124" s="2"/>
      <c r="C124" s="2"/>
      <c r="D124" s="2"/>
      <c r="E124" s="2"/>
      <c r="F124" s="2"/>
      <c r="G124" s="43"/>
      <c r="H124" s="2"/>
      <c r="I124" s="2"/>
      <c r="J124" s="2"/>
      <c r="K124" s="2"/>
      <c r="L124" s="2"/>
      <c r="M124" s="2"/>
      <c r="N124" s="2"/>
      <c r="O124" s="2"/>
      <c r="P124" s="2"/>
      <c r="Q124" s="2"/>
      <c r="R124" s="2"/>
      <c r="S124" s="2"/>
      <c r="T124" s="2"/>
      <c r="U124" s="2"/>
      <c r="V124" s="2"/>
      <c r="W124" s="2"/>
      <c r="X124" s="2"/>
      <c r="Y124" s="2"/>
      <c r="Z124" s="2"/>
      <c r="AA124" s="2"/>
      <c r="AB124" s="2"/>
    </row>
    <row r="125" spans="1:28" ht="35.25" customHeight="1">
      <c r="A125" s="2"/>
      <c r="B125" s="2"/>
      <c r="C125" s="2"/>
      <c r="D125" s="2"/>
      <c r="E125" s="2"/>
      <c r="F125" s="2"/>
      <c r="G125" s="43"/>
      <c r="H125" s="2"/>
      <c r="I125" s="2"/>
      <c r="J125" s="2"/>
      <c r="K125" s="2"/>
      <c r="L125" s="2"/>
      <c r="M125" s="2"/>
      <c r="N125" s="2"/>
      <c r="O125" s="2"/>
      <c r="P125" s="2"/>
      <c r="Q125" s="2"/>
      <c r="R125" s="2"/>
      <c r="S125" s="2"/>
      <c r="T125" s="2"/>
      <c r="U125" s="2"/>
      <c r="V125" s="2"/>
      <c r="W125" s="2"/>
      <c r="X125" s="2"/>
      <c r="Y125" s="2"/>
      <c r="Z125" s="2"/>
      <c r="AA125" s="2"/>
      <c r="AB125" s="2"/>
    </row>
    <row r="126" spans="1:28" ht="35.25" customHeight="1">
      <c r="A126" s="2"/>
      <c r="B126" s="2"/>
      <c r="C126" s="2"/>
      <c r="D126" s="2"/>
      <c r="E126" s="2"/>
      <c r="F126" s="2"/>
      <c r="G126" s="43"/>
      <c r="H126" s="2"/>
      <c r="I126" s="2"/>
      <c r="J126" s="2"/>
      <c r="K126" s="2"/>
      <c r="L126" s="2"/>
      <c r="M126" s="2"/>
      <c r="N126" s="2"/>
      <c r="O126" s="2"/>
      <c r="P126" s="2"/>
      <c r="Q126" s="2"/>
      <c r="R126" s="2"/>
      <c r="S126" s="2"/>
      <c r="T126" s="2"/>
      <c r="U126" s="2"/>
      <c r="V126" s="2"/>
      <c r="W126" s="2"/>
      <c r="X126" s="2"/>
      <c r="Y126" s="2"/>
      <c r="Z126" s="2"/>
      <c r="AA126" s="2"/>
      <c r="AB126" s="2"/>
    </row>
    <row r="127" spans="1:28" ht="35.25" customHeight="1">
      <c r="A127" s="2"/>
      <c r="B127" s="2"/>
      <c r="C127" s="2"/>
      <c r="D127" s="2"/>
      <c r="E127" s="2"/>
      <c r="F127" s="2"/>
      <c r="G127" s="43"/>
      <c r="H127" s="2"/>
      <c r="I127" s="2"/>
      <c r="J127" s="2"/>
      <c r="K127" s="2"/>
      <c r="L127" s="2"/>
      <c r="M127" s="2"/>
      <c r="N127" s="2"/>
      <c r="O127" s="2"/>
      <c r="P127" s="2"/>
      <c r="Q127" s="2"/>
      <c r="R127" s="2"/>
      <c r="S127" s="2"/>
      <c r="T127" s="2"/>
      <c r="U127" s="2"/>
      <c r="V127" s="2"/>
      <c r="W127" s="2"/>
      <c r="X127" s="2"/>
      <c r="Y127" s="2"/>
      <c r="Z127" s="2"/>
      <c r="AA127" s="2"/>
      <c r="AB127" s="2"/>
    </row>
    <row r="128" spans="1:28" ht="35.25" customHeight="1">
      <c r="A128" s="2"/>
      <c r="B128" s="2"/>
      <c r="C128" s="2"/>
      <c r="D128" s="2"/>
      <c r="E128" s="2"/>
      <c r="F128" s="2"/>
      <c r="G128" s="43"/>
      <c r="H128" s="2"/>
      <c r="I128" s="2"/>
      <c r="J128" s="2"/>
      <c r="K128" s="2"/>
      <c r="L128" s="2"/>
      <c r="M128" s="2"/>
      <c r="N128" s="2"/>
      <c r="O128" s="2"/>
      <c r="P128" s="2"/>
      <c r="Q128" s="2"/>
      <c r="R128" s="2"/>
      <c r="S128" s="2"/>
      <c r="T128" s="2"/>
      <c r="U128" s="2"/>
      <c r="V128" s="2"/>
      <c r="W128" s="2"/>
      <c r="X128" s="2"/>
      <c r="Y128" s="2"/>
      <c r="Z128" s="2"/>
      <c r="AA128" s="2"/>
      <c r="AB128" s="2"/>
    </row>
    <row r="129" spans="1:28" ht="35.25" customHeight="1">
      <c r="A129" s="2"/>
      <c r="B129" s="2"/>
      <c r="C129" s="2"/>
      <c r="D129" s="2"/>
      <c r="E129" s="2"/>
      <c r="F129" s="2"/>
      <c r="G129" s="43"/>
      <c r="H129" s="2"/>
      <c r="I129" s="2"/>
      <c r="J129" s="2"/>
      <c r="K129" s="2"/>
      <c r="L129" s="2"/>
      <c r="M129" s="2"/>
      <c r="N129" s="2"/>
      <c r="O129" s="2"/>
      <c r="P129" s="2"/>
      <c r="Q129" s="2"/>
      <c r="R129" s="2"/>
      <c r="S129" s="2"/>
      <c r="T129" s="2"/>
      <c r="U129" s="2"/>
      <c r="V129" s="2"/>
      <c r="W129" s="2"/>
      <c r="X129" s="2"/>
      <c r="Y129" s="2"/>
      <c r="Z129" s="2"/>
      <c r="AA129" s="2"/>
      <c r="AB129" s="2"/>
    </row>
    <row r="130" spans="1:28" ht="35.25" customHeight="1">
      <c r="A130" s="2"/>
      <c r="B130" s="2"/>
      <c r="C130" s="2"/>
      <c r="D130" s="2"/>
      <c r="E130" s="2"/>
      <c r="F130" s="2"/>
      <c r="G130" s="43"/>
      <c r="H130" s="2"/>
      <c r="I130" s="2"/>
      <c r="J130" s="2"/>
      <c r="K130" s="2"/>
      <c r="L130" s="2"/>
      <c r="M130" s="2"/>
      <c r="N130" s="2"/>
      <c r="O130" s="2"/>
      <c r="P130" s="2"/>
      <c r="Q130" s="2"/>
      <c r="R130" s="2"/>
      <c r="S130" s="2"/>
      <c r="T130" s="2"/>
      <c r="U130" s="2"/>
      <c r="V130" s="2"/>
      <c r="W130" s="2"/>
      <c r="X130" s="2"/>
      <c r="Y130" s="2"/>
      <c r="Z130" s="2"/>
      <c r="AA130" s="2"/>
      <c r="AB130" s="2"/>
    </row>
    <row r="131" spans="1:28" ht="35.25" customHeight="1">
      <c r="A131" s="2"/>
      <c r="B131" s="2"/>
      <c r="C131" s="2"/>
      <c r="D131" s="2"/>
      <c r="E131" s="2"/>
      <c r="F131" s="2"/>
      <c r="G131" s="43"/>
      <c r="H131" s="2"/>
      <c r="I131" s="2"/>
      <c r="J131" s="2"/>
      <c r="K131" s="2"/>
      <c r="L131" s="2"/>
      <c r="M131" s="2"/>
      <c r="N131" s="2"/>
      <c r="O131" s="2"/>
      <c r="P131" s="2"/>
      <c r="Q131" s="2"/>
      <c r="R131" s="2"/>
      <c r="S131" s="2"/>
      <c r="T131" s="2"/>
      <c r="U131" s="2"/>
      <c r="V131" s="2"/>
      <c r="W131" s="2"/>
      <c r="X131" s="2"/>
      <c r="Y131" s="2"/>
      <c r="Z131" s="2"/>
      <c r="AA131" s="2"/>
      <c r="AB131" s="2"/>
    </row>
    <row r="132" spans="1:28" ht="35.25" customHeight="1">
      <c r="A132" s="2"/>
      <c r="B132" s="2"/>
      <c r="C132" s="2"/>
      <c r="D132" s="2"/>
      <c r="E132" s="2"/>
      <c r="F132" s="2"/>
      <c r="G132" s="43"/>
      <c r="H132" s="2"/>
      <c r="I132" s="2"/>
      <c r="J132" s="2"/>
      <c r="K132" s="2"/>
      <c r="L132" s="2"/>
      <c r="M132" s="2"/>
      <c r="N132" s="2"/>
      <c r="O132" s="2"/>
      <c r="P132" s="2"/>
      <c r="Q132" s="2"/>
      <c r="R132" s="2"/>
      <c r="S132" s="2"/>
      <c r="T132" s="2"/>
      <c r="U132" s="2"/>
      <c r="V132" s="2"/>
      <c r="W132" s="2"/>
      <c r="X132" s="2"/>
      <c r="Y132" s="2"/>
      <c r="Z132" s="2"/>
      <c r="AA132" s="2"/>
      <c r="AB132" s="2"/>
    </row>
    <row r="133" spans="1:28" ht="35.25" customHeight="1">
      <c r="A133" s="2"/>
      <c r="B133" s="2"/>
      <c r="C133" s="2"/>
      <c r="D133" s="2"/>
      <c r="E133" s="2"/>
      <c r="F133" s="2"/>
      <c r="G133" s="43"/>
      <c r="H133" s="2"/>
      <c r="I133" s="2"/>
      <c r="J133" s="2"/>
      <c r="K133" s="2"/>
      <c r="L133" s="2"/>
      <c r="M133" s="2"/>
      <c r="N133" s="2"/>
      <c r="O133" s="2"/>
      <c r="P133" s="2"/>
      <c r="Q133" s="2"/>
      <c r="R133" s="2"/>
      <c r="S133" s="2"/>
      <c r="T133" s="2"/>
      <c r="U133" s="2"/>
      <c r="V133" s="2"/>
      <c r="W133" s="2"/>
      <c r="X133" s="2"/>
      <c r="Y133" s="2"/>
      <c r="Z133" s="2"/>
      <c r="AA133" s="2"/>
      <c r="AB133" s="2"/>
    </row>
    <row r="134" spans="1:28" ht="35.25" customHeight="1">
      <c r="A134" s="2"/>
      <c r="B134" s="2"/>
      <c r="C134" s="2"/>
      <c r="D134" s="2"/>
      <c r="E134" s="2"/>
      <c r="F134" s="2"/>
      <c r="G134" s="43"/>
      <c r="H134" s="2"/>
      <c r="I134" s="2"/>
      <c r="J134" s="2"/>
      <c r="K134" s="2"/>
      <c r="L134" s="2"/>
      <c r="M134" s="2"/>
      <c r="N134" s="2"/>
      <c r="O134" s="2"/>
      <c r="P134" s="2"/>
      <c r="Q134" s="2"/>
      <c r="R134" s="2"/>
      <c r="S134" s="2"/>
      <c r="T134" s="2"/>
      <c r="U134" s="2"/>
      <c r="V134" s="2"/>
      <c r="W134" s="2"/>
      <c r="X134" s="2"/>
      <c r="Y134" s="2"/>
      <c r="Z134" s="2"/>
      <c r="AA134" s="2"/>
      <c r="AB134" s="2"/>
    </row>
    <row r="135" spans="1:28" ht="35.25" customHeight="1">
      <c r="A135" s="2"/>
      <c r="B135" s="2"/>
      <c r="C135" s="2"/>
      <c r="D135" s="2"/>
      <c r="E135" s="2"/>
      <c r="F135" s="2"/>
      <c r="G135" s="43"/>
      <c r="H135" s="2"/>
      <c r="I135" s="2"/>
      <c r="J135" s="2"/>
      <c r="K135" s="2"/>
      <c r="L135" s="2"/>
      <c r="M135" s="2"/>
      <c r="N135" s="2"/>
      <c r="O135" s="2"/>
      <c r="P135" s="2"/>
      <c r="Q135" s="2"/>
      <c r="R135" s="2"/>
      <c r="S135" s="2"/>
      <c r="T135" s="2"/>
      <c r="U135" s="2"/>
      <c r="V135" s="2"/>
      <c r="W135" s="2"/>
      <c r="X135" s="2"/>
      <c r="Y135" s="2"/>
      <c r="Z135" s="2"/>
      <c r="AA135" s="2"/>
      <c r="AB135" s="2"/>
    </row>
    <row r="136" spans="1:28" ht="35.25" customHeight="1">
      <c r="A136" s="2"/>
      <c r="B136" s="2"/>
      <c r="C136" s="2"/>
      <c r="D136" s="2"/>
      <c r="E136" s="2"/>
      <c r="F136" s="2"/>
      <c r="G136" s="43"/>
      <c r="H136" s="2"/>
      <c r="I136" s="2"/>
      <c r="J136" s="2"/>
      <c r="K136" s="2"/>
      <c r="L136" s="2"/>
      <c r="M136" s="2"/>
      <c r="N136" s="2"/>
      <c r="O136" s="2"/>
      <c r="P136" s="2"/>
      <c r="Q136" s="2"/>
      <c r="R136" s="2"/>
      <c r="S136" s="2"/>
      <c r="T136" s="2"/>
      <c r="U136" s="2"/>
      <c r="V136" s="2"/>
      <c r="W136" s="2"/>
      <c r="X136" s="2"/>
      <c r="Y136" s="2"/>
      <c r="Z136" s="2"/>
      <c r="AA136" s="2"/>
      <c r="AB136" s="2"/>
    </row>
    <row r="137" spans="1:28" ht="35.25" customHeight="1">
      <c r="A137" s="2"/>
      <c r="B137" s="2"/>
      <c r="C137" s="2"/>
      <c r="D137" s="2"/>
      <c r="E137" s="2"/>
      <c r="F137" s="2"/>
      <c r="G137" s="43"/>
      <c r="H137" s="2"/>
      <c r="I137" s="2"/>
      <c r="J137" s="2"/>
      <c r="K137" s="2"/>
      <c r="L137" s="2"/>
      <c r="M137" s="2"/>
      <c r="N137" s="2"/>
      <c r="O137" s="2"/>
      <c r="P137" s="2"/>
      <c r="Q137" s="2"/>
      <c r="R137" s="2"/>
      <c r="S137" s="2"/>
      <c r="T137" s="2"/>
      <c r="U137" s="2"/>
      <c r="V137" s="2"/>
      <c r="W137" s="2"/>
      <c r="X137" s="2"/>
      <c r="Y137" s="2"/>
      <c r="Z137" s="2"/>
      <c r="AA137" s="2"/>
      <c r="AB137" s="2"/>
    </row>
    <row r="138" spans="1:28" ht="35.25" customHeight="1">
      <c r="A138" s="2"/>
      <c r="B138" s="2"/>
      <c r="C138" s="2"/>
      <c r="D138" s="2"/>
      <c r="E138" s="2"/>
      <c r="F138" s="2"/>
      <c r="G138" s="43"/>
      <c r="H138" s="2"/>
      <c r="I138" s="2"/>
      <c r="J138" s="2"/>
      <c r="K138" s="2"/>
      <c r="L138" s="2"/>
      <c r="M138" s="2"/>
      <c r="N138" s="2"/>
      <c r="O138" s="2"/>
      <c r="P138" s="2"/>
      <c r="Q138" s="2"/>
      <c r="R138" s="2"/>
      <c r="S138" s="2"/>
      <c r="T138" s="2"/>
      <c r="U138" s="2"/>
      <c r="V138" s="2"/>
      <c r="W138" s="2"/>
      <c r="X138" s="2"/>
      <c r="Y138" s="2"/>
      <c r="Z138" s="2"/>
      <c r="AA138" s="2"/>
      <c r="AB138" s="2"/>
    </row>
    <row r="139" spans="1:28" ht="35.25" customHeight="1">
      <c r="A139" s="2"/>
      <c r="B139" s="2"/>
      <c r="C139" s="2"/>
      <c r="D139" s="2"/>
      <c r="E139" s="2"/>
      <c r="F139" s="2"/>
      <c r="G139" s="43"/>
      <c r="H139" s="2"/>
      <c r="I139" s="2"/>
      <c r="J139" s="2"/>
      <c r="K139" s="2"/>
      <c r="L139" s="2"/>
      <c r="M139" s="2"/>
      <c r="N139" s="2"/>
      <c r="O139" s="2"/>
      <c r="P139" s="2"/>
      <c r="Q139" s="2"/>
      <c r="R139" s="2"/>
      <c r="S139" s="2"/>
      <c r="T139" s="2"/>
      <c r="U139" s="2"/>
      <c r="V139" s="2"/>
      <c r="W139" s="2"/>
      <c r="X139" s="2"/>
      <c r="Y139" s="2"/>
      <c r="Z139" s="2"/>
      <c r="AA139" s="2"/>
      <c r="AB139" s="2"/>
    </row>
    <row r="140" spans="1:28" ht="35.25" customHeight="1">
      <c r="A140" s="2"/>
      <c r="B140" s="2"/>
      <c r="C140" s="2"/>
      <c r="D140" s="2"/>
      <c r="E140" s="2"/>
      <c r="F140" s="2"/>
      <c r="G140" s="43"/>
      <c r="H140" s="2"/>
      <c r="I140" s="2"/>
      <c r="J140" s="2"/>
      <c r="K140" s="2"/>
      <c r="L140" s="2"/>
      <c r="M140" s="2"/>
      <c r="N140" s="2"/>
      <c r="O140" s="2"/>
      <c r="P140" s="2"/>
      <c r="Q140" s="2"/>
      <c r="R140" s="2"/>
      <c r="S140" s="2"/>
      <c r="T140" s="2"/>
      <c r="U140" s="2"/>
      <c r="V140" s="2"/>
      <c r="W140" s="2"/>
      <c r="X140" s="2"/>
      <c r="Y140" s="2"/>
      <c r="Z140" s="2"/>
      <c r="AA140" s="2"/>
      <c r="AB140" s="2"/>
    </row>
    <row r="141" spans="1:28" ht="35.25" customHeight="1">
      <c r="A141" s="2"/>
      <c r="B141" s="2"/>
      <c r="C141" s="2"/>
      <c r="D141" s="2"/>
      <c r="E141" s="2"/>
      <c r="F141" s="2"/>
      <c r="G141" s="43"/>
      <c r="H141" s="2"/>
      <c r="I141" s="2"/>
      <c r="J141" s="2"/>
      <c r="K141" s="2"/>
      <c r="L141" s="2"/>
      <c r="M141" s="2"/>
      <c r="N141" s="2"/>
      <c r="O141" s="2"/>
      <c r="P141" s="2"/>
      <c r="Q141" s="2"/>
      <c r="R141" s="2"/>
      <c r="S141" s="2"/>
      <c r="T141" s="2"/>
      <c r="U141" s="2"/>
      <c r="V141" s="2"/>
      <c r="W141" s="2"/>
      <c r="X141" s="2"/>
      <c r="Y141" s="2"/>
      <c r="Z141" s="2"/>
      <c r="AA141" s="2"/>
      <c r="AB141" s="2"/>
    </row>
    <row r="142" spans="1:28" ht="35.25" customHeight="1">
      <c r="A142" s="2"/>
      <c r="B142" s="2"/>
      <c r="C142" s="2"/>
      <c r="D142" s="2"/>
      <c r="E142" s="2"/>
      <c r="F142" s="2"/>
      <c r="G142" s="43"/>
      <c r="H142" s="2"/>
      <c r="I142" s="2"/>
      <c r="J142" s="2"/>
      <c r="K142" s="2"/>
      <c r="L142" s="2"/>
      <c r="M142" s="2"/>
      <c r="N142" s="2"/>
      <c r="O142" s="2"/>
      <c r="P142" s="2"/>
      <c r="Q142" s="2"/>
      <c r="R142" s="2"/>
      <c r="S142" s="2"/>
      <c r="T142" s="2"/>
      <c r="U142" s="2"/>
      <c r="V142" s="2"/>
      <c r="W142" s="2"/>
      <c r="X142" s="2"/>
      <c r="Y142" s="2"/>
      <c r="Z142" s="2"/>
      <c r="AA142" s="2"/>
      <c r="AB142" s="2"/>
    </row>
    <row r="143" spans="1:28" ht="35.25" customHeight="1">
      <c r="A143" s="2"/>
      <c r="B143" s="2"/>
      <c r="C143" s="2"/>
      <c r="D143" s="2"/>
      <c r="E143" s="2"/>
      <c r="F143" s="2"/>
      <c r="G143" s="43"/>
      <c r="H143" s="2"/>
      <c r="I143" s="2"/>
      <c r="J143" s="2"/>
      <c r="K143" s="2"/>
      <c r="L143" s="2"/>
      <c r="M143" s="2"/>
      <c r="N143" s="2"/>
      <c r="O143" s="2"/>
      <c r="P143" s="2"/>
      <c r="Q143" s="2"/>
      <c r="R143" s="2"/>
      <c r="S143" s="2"/>
      <c r="T143" s="2"/>
      <c r="U143" s="2"/>
      <c r="V143" s="2"/>
      <c r="W143" s="2"/>
      <c r="X143" s="2"/>
      <c r="Y143" s="2"/>
      <c r="Z143" s="2"/>
      <c r="AA143" s="2"/>
      <c r="AB143" s="2"/>
    </row>
    <row r="144" spans="1:28" ht="35.25" customHeight="1">
      <c r="A144" s="2"/>
      <c r="B144" s="2"/>
      <c r="C144" s="2"/>
      <c r="D144" s="2"/>
      <c r="E144" s="2"/>
      <c r="F144" s="2"/>
      <c r="G144" s="43"/>
      <c r="H144" s="2"/>
      <c r="I144" s="2"/>
      <c r="J144" s="2"/>
      <c r="K144" s="2"/>
      <c r="L144" s="2"/>
      <c r="M144" s="2"/>
      <c r="N144" s="2"/>
      <c r="O144" s="2"/>
      <c r="P144" s="2"/>
      <c r="Q144" s="2"/>
      <c r="R144" s="2"/>
      <c r="S144" s="2"/>
      <c r="T144" s="2"/>
      <c r="U144" s="2"/>
      <c r="V144" s="2"/>
      <c r="W144" s="2"/>
      <c r="X144" s="2"/>
      <c r="Y144" s="2"/>
      <c r="Z144" s="2"/>
      <c r="AA144" s="2"/>
      <c r="AB144" s="2"/>
    </row>
    <row r="145" spans="1:28" ht="35.25" customHeight="1">
      <c r="A145" s="2"/>
      <c r="B145" s="2"/>
      <c r="C145" s="2"/>
      <c r="D145" s="2"/>
      <c r="E145" s="2"/>
      <c r="F145" s="2"/>
      <c r="G145" s="43"/>
      <c r="H145" s="2"/>
      <c r="I145" s="2"/>
      <c r="J145" s="2"/>
      <c r="K145" s="2"/>
      <c r="L145" s="2"/>
      <c r="M145" s="2"/>
      <c r="N145" s="2"/>
      <c r="O145" s="2"/>
      <c r="P145" s="2"/>
      <c r="Q145" s="2"/>
      <c r="R145" s="2"/>
      <c r="S145" s="2"/>
      <c r="T145" s="2"/>
      <c r="U145" s="2"/>
      <c r="V145" s="2"/>
      <c r="W145" s="2"/>
      <c r="X145" s="2"/>
      <c r="Y145" s="2"/>
      <c r="Z145" s="2"/>
      <c r="AA145" s="2"/>
      <c r="AB145" s="2"/>
    </row>
    <row r="146" spans="1:28" ht="35.25" customHeight="1">
      <c r="A146" s="2"/>
      <c r="B146" s="2"/>
      <c r="C146" s="2"/>
      <c r="D146" s="2"/>
      <c r="E146" s="2"/>
      <c r="F146" s="2"/>
      <c r="G146" s="43"/>
      <c r="H146" s="2"/>
      <c r="I146" s="2"/>
      <c r="J146" s="2"/>
      <c r="K146" s="2"/>
      <c r="L146" s="2"/>
      <c r="M146" s="2"/>
      <c r="N146" s="2"/>
      <c r="O146" s="2"/>
      <c r="P146" s="2"/>
      <c r="Q146" s="2"/>
      <c r="R146" s="2"/>
      <c r="S146" s="2"/>
      <c r="T146" s="2"/>
      <c r="U146" s="2"/>
      <c r="V146" s="2"/>
      <c r="W146" s="2"/>
      <c r="X146" s="2"/>
      <c r="Y146" s="2"/>
      <c r="Z146" s="2"/>
      <c r="AA146" s="2"/>
      <c r="AB146" s="2"/>
    </row>
    <row r="147" spans="1:28" ht="35.25" customHeight="1">
      <c r="A147" s="2"/>
      <c r="B147" s="2"/>
      <c r="C147" s="2"/>
      <c r="D147" s="2"/>
      <c r="E147" s="2"/>
      <c r="F147" s="2"/>
      <c r="G147" s="43"/>
      <c r="H147" s="2"/>
      <c r="I147" s="2"/>
      <c r="J147" s="2"/>
      <c r="K147" s="2"/>
      <c r="L147" s="2"/>
      <c r="M147" s="2"/>
      <c r="N147" s="2"/>
      <c r="O147" s="2"/>
      <c r="P147" s="2"/>
      <c r="Q147" s="2"/>
      <c r="R147" s="2"/>
      <c r="S147" s="2"/>
      <c r="T147" s="2"/>
      <c r="U147" s="2"/>
      <c r="V147" s="2"/>
      <c r="W147" s="2"/>
      <c r="X147" s="2"/>
      <c r="Y147" s="2"/>
      <c r="Z147" s="2"/>
      <c r="AA147" s="2"/>
      <c r="AB147" s="2"/>
    </row>
    <row r="148" spans="1:28" ht="35.25" customHeight="1">
      <c r="A148" s="2"/>
      <c r="B148" s="2"/>
      <c r="C148" s="2"/>
      <c r="D148" s="2"/>
      <c r="E148" s="2"/>
      <c r="F148" s="2"/>
      <c r="G148" s="43"/>
      <c r="H148" s="2"/>
      <c r="I148" s="2"/>
      <c r="J148" s="2"/>
      <c r="K148" s="2"/>
      <c r="L148" s="2"/>
      <c r="M148" s="2"/>
      <c r="N148" s="2"/>
      <c r="O148" s="2"/>
      <c r="P148" s="2"/>
      <c r="Q148" s="2"/>
      <c r="R148" s="2"/>
      <c r="S148" s="2"/>
      <c r="T148" s="2"/>
      <c r="U148" s="2"/>
      <c r="V148" s="2"/>
      <c r="W148" s="2"/>
      <c r="X148" s="2"/>
      <c r="Y148" s="2"/>
      <c r="Z148" s="2"/>
      <c r="AA148" s="2"/>
      <c r="AB148" s="2"/>
    </row>
    <row r="149" spans="1:28" ht="35.25" customHeight="1">
      <c r="A149" s="2"/>
      <c r="B149" s="2"/>
      <c r="C149" s="2"/>
      <c r="D149" s="2"/>
      <c r="E149" s="2"/>
      <c r="F149" s="2"/>
      <c r="G149" s="43"/>
      <c r="H149" s="2"/>
      <c r="I149" s="2"/>
      <c r="J149" s="2"/>
      <c r="K149" s="2"/>
      <c r="L149" s="2"/>
      <c r="M149" s="2"/>
      <c r="N149" s="2"/>
      <c r="O149" s="2"/>
      <c r="P149" s="2"/>
      <c r="Q149" s="2"/>
      <c r="R149" s="2"/>
      <c r="S149" s="2"/>
      <c r="T149" s="2"/>
      <c r="U149" s="2"/>
      <c r="V149" s="2"/>
      <c r="W149" s="2"/>
      <c r="X149" s="2"/>
      <c r="Y149" s="2"/>
      <c r="Z149" s="2"/>
      <c r="AA149" s="2"/>
      <c r="AB149" s="2"/>
    </row>
    <row r="150" spans="1:28" ht="35.25" customHeight="1">
      <c r="A150" s="2"/>
      <c r="B150" s="2"/>
      <c r="C150" s="2"/>
      <c r="D150" s="2"/>
      <c r="E150" s="2"/>
      <c r="F150" s="2"/>
      <c r="G150" s="43"/>
      <c r="H150" s="2"/>
      <c r="I150" s="2"/>
      <c r="J150" s="2"/>
      <c r="K150" s="2"/>
      <c r="L150" s="2"/>
      <c r="M150" s="2"/>
      <c r="N150" s="2"/>
      <c r="O150" s="2"/>
      <c r="P150" s="2"/>
      <c r="Q150" s="2"/>
      <c r="R150" s="2"/>
      <c r="S150" s="2"/>
      <c r="T150" s="2"/>
      <c r="U150" s="2"/>
      <c r="V150" s="2"/>
      <c r="W150" s="2"/>
      <c r="X150" s="2"/>
      <c r="Y150" s="2"/>
      <c r="Z150" s="2"/>
      <c r="AA150" s="2"/>
      <c r="AB150" s="2"/>
    </row>
    <row r="151" spans="1:28" ht="35.25" customHeight="1">
      <c r="A151" s="2"/>
      <c r="B151" s="2"/>
      <c r="C151" s="2"/>
      <c r="D151" s="2"/>
      <c r="E151" s="2"/>
      <c r="F151" s="2"/>
      <c r="G151" s="43"/>
      <c r="H151" s="2"/>
      <c r="I151" s="2"/>
      <c r="J151" s="2"/>
      <c r="K151" s="2"/>
      <c r="L151" s="2"/>
      <c r="M151" s="2"/>
      <c r="N151" s="2"/>
      <c r="O151" s="2"/>
      <c r="P151" s="2"/>
      <c r="Q151" s="2"/>
      <c r="R151" s="2"/>
      <c r="S151" s="2"/>
      <c r="T151" s="2"/>
      <c r="U151" s="2"/>
      <c r="V151" s="2"/>
      <c r="W151" s="2"/>
      <c r="X151" s="2"/>
      <c r="Y151" s="2"/>
      <c r="Z151" s="2"/>
      <c r="AA151" s="2"/>
      <c r="AB151" s="2"/>
    </row>
    <row r="152" spans="1:28" ht="35.25" customHeight="1">
      <c r="A152" s="2"/>
      <c r="B152" s="2"/>
      <c r="C152" s="2"/>
      <c r="D152" s="2"/>
      <c r="E152" s="2"/>
      <c r="F152" s="2"/>
      <c r="G152" s="43"/>
      <c r="H152" s="2"/>
      <c r="I152" s="2"/>
      <c r="J152" s="2"/>
      <c r="K152" s="2"/>
      <c r="L152" s="2"/>
      <c r="M152" s="2"/>
      <c r="N152" s="2"/>
      <c r="O152" s="2"/>
      <c r="P152" s="2"/>
      <c r="Q152" s="2"/>
      <c r="R152" s="2"/>
      <c r="S152" s="2"/>
      <c r="T152" s="2"/>
      <c r="U152" s="2"/>
      <c r="V152" s="2"/>
      <c r="W152" s="2"/>
      <c r="X152" s="2"/>
      <c r="Y152" s="2"/>
      <c r="Z152" s="2"/>
      <c r="AA152" s="2"/>
      <c r="AB152" s="2"/>
    </row>
    <row r="153" spans="1:28" ht="35.25" customHeight="1">
      <c r="A153" s="2"/>
      <c r="B153" s="2"/>
      <c r="C153" s="2"/>
      <c r="D153" s="2"/>
      <c r="E153" s="2"/>
      <c r="F153" s="2"/>
      <c r="G153" s="43"/>
      <c r="H153" s="2"/>
      <c r="I153" s="2"/>
      <c r="J153" s="2"/>
      <c r="K153" s="2"/>
      <c r="L153" s="2"/>
      <c r="M153" s="2"/>
      <c r="N153" s="2"/>
      <c r="O153" s="2"/>
      <c r="P153" s="2"/>
      <c r="Q153" s="2"/>
      <c r="R153" s="2"/>
      <c r="S153" s="2"/>
      <c r="T153" s="2"/>
      <c r="U153" s="2"/>
      <c r="V153" s="2"/>
      <c r="W153" s="2"/>
      <c r="X153" s="2"/>
      <c r="Y153" s="2"/>
      <c r="Z153" s="2"/>
      <c r="AA153" s="2"/>
      <c r="AB153" s="2"/>
    </row>
    <row r="154" spans="1:28" ht="35.25" customHeight="1">
      <c r="A154" s="2"/>
      <c r="B154" s="2"/>
      <c r="C154" s="2"/>
      <c r="D154" s="2"/>
      <c r="E154" s="2"/>
      <c r="F154" s="2"/>
      <c r="G154" s="43"/>
      <c r="H154" s="2"/>
      <c r="I154" s="2"/>
      <c r="J154" s="2"/>
      <c r="K154" s="2"/>
      <c r="L154" s="2"/>
      <c r="M154" s="2"/>
      <c r="N154" s="2"/>
      <c r="O154" s="2"/>
      <c r="P154" s="2"/>
      <c r="Q154" s="2"/>
      <c r="R154" s="2"/>
      <c r="S154" s="2"/>
      <c r="T154" s="2"/>
      <c r="U154" s="2"/>
      <c r="V154" s="2"/>
      <c r="W154" s="2"/>
      <c r="X154" s="2"/>
      <c r="Y154" s="2"/>
      <c r="Z154" s="2"/>
      <c r="AA154" s="2"/>
      <c r="AB154" s="2"/>
    </row>
    <row r="155" spans="1:28" ht="35.25" customHeight="1">
      <c r="A155" s="2"/>
      <c r="B155" s="2"/>
      <c r="C155" s="2"/>
      <c r="D155" s="2"/>
      <c r="E155" s="2"/>
      <c r="F155" s="2"/>
      <c r="G155" s="43"/>
      <c r="H155" s="2"/>
      <c r="I155" s="2"/>
      <c r="J155" s="2"/>
      <c r="K155" s="2"/>
      <c r="L155" s="2"/>
      <c r="M155" s="2"/>
      <c r="N155" s="2"/>
      <c r="O155" s="2"/>
      <c r="P155" s="2"/>
      <c r="Q155" s="2"/>
      <c r="R155" s="2"/>
      <c r="S155" s="2"/>
      <c r="T155" s="2"/>
      <c r="U155" s="2"/>
      <c r="V155" s="2"/>
      <c r="W155" s="2"/>
      <c r="X155" s="2"/>
      <c r="Y155" s="2"/>
      <c r="Z155" s="2"/>
      <c r="AA155" s="2"/>
      <c r="AB155" s="2"/>
    </row>
    <row r="156" spans="1:28" ht="35.25" customHeight="1">
      <c r="A156" s="2"/>
      <c r="B156" s="2"/>
      <c r="C156" s="2"/>
      <c r="D156" s="2"/>
      <c r="E156" s="2"/>
      <c r="F156" s="2"/>
      <c r="G156" s="43"/>
      <c r="H156" s="2"/>
      <c r="I156" s="2"/>
      <c r="J156" s="2"/>
      <c r="K156" s="2"/>
      <c r="L156" s="2"/>
      <c r="M156" s="2"/>
      <c r="N156" s="2"/>
      <c r="O156" s="2"/>
      <c r="P156" s="2"/>
      <c r="Q156" s="2"/>
      <c r="R156" s="2"/>
      <c r="S156" s="2"/>
      <c r="T156" s="2"/>
      <c r="U156" s="2"/>
      <c r="V156" s="2"/>
      <c r="W156" s="2"/>
      <c r="X156" s="2"/>
      <c r="Y156" s="2"/>
      <c r="Z156" s="2"/>
      <c r="AA156" s="2"/>
      <c r="AB156" s="2"/>
    </row>
    <row r="157" spans="1:28" ht="35.25" customHeight="1">
      <c r="A157" s="2"/>
      <c r="B157" s="2"/>
      <c r="C157" s="2"/>
      <c r="D157" s="2"/>
      <c r="E157" s="2"/>
      <c r="F157" s="2"/>
      <c r="G157" s="43"/>
      <c r="H157" s="2"/>
      <c r="I157" s="2"/>
      <c r="J157" s="2"/>
      <c r="K157" s="2"/>
      <c r="L157" s="2"/>
      <c r="M157" s="2"/>
      <c r="N157" s="2"/>
      <c r="O157" s="2"/>
      <c r="P157" s="2"/>
      <c r="Q157" s="2"/>
      <c r="R157" s="2"/>
      <c r="S157" s="2"/>
      <c r="T157" s="2"/>
      <c r="U157" s="2"/>
      <c r="V157" s="2"/>
      <c r="W157" s="2"/>
      <c r="X157" s="2"/>
      <c r="Y157" s="2"/>
      <c r="Z157" s="2"/>
      <c r="AA157" s="2"/>
      <c r="AB157" s="2"/>
    </row>
    <row r="158" spans="1:28" ht="35.25" customHeight="1">
      <c r="A158" s="2"/>
      <c r="B158" s="2"/>
      <c r="C158" s="2"/>
      <c r="D158" s="2"/>
      <c r="E158" s="2"/>
      <c r="F158" s="2"/>
      <c r="G158" s="43"/>
      <c r="H158" s="2"/>
      <c r="I158" s="2"/>
      <c r="J158" s="2"/>
      <c r="K158" s="2"/>
      <c r="L158" s="2"/>
      <c r="M158" s="2"/>
      <c r="N158" s="2"/>
      <c r="O158" s="2"/>
      <c r="P158" s="2"/>
      <c r="Q158" s="2"/>
      <c r="R158" s="2"/>
      <c r="S158" s="2"/>
      <c r="T158" s="2"/>
      <c r="U158" s="2"/>
      <c r="V158" s="2"/>
      <c r="W158" s="2"/>
      <c r="X158" s="2"/>
      <c r="Y158" s="2"/>
      <c r="Z158" s="2"/>
      <c r="AA158" s="2"/>
      <c r="AB158" s="2"/>
    </row>
    <row r="159" spans="1:28" ht="13">
      <c r="A159" s="2"/>
      <c r="B159" s="2"/>
      <c r="C159" s="2"/>
      <c r="D159" s="2"/>
      <c r="E159" s="2"/>
      <c r="F159" s="2"/>
      <c r="G159" s="43"/>
      <c r="H159" s="2"/>
      <c r="I159" s="2"/>
      <c r="J159" s="2"/>
      <c r="K159" s="2"/>
      <c r="L159" s="2"/>
      <c r="M159" s="2"/>
      <c r="N159" s="2"/>
      <c r="O159" s="2"/>
      <c r="P159" s="2"/>
      <c r="Q159" s="2"/>
      <c r="R159" s="2"/>
      <c r="S159" s="2"/>
      <c r="T159" s="2"/>
      <c r="U159" s="2"/>
      <c r="V159" s="2"/>
      <c r="W159" s="2"/>
      <c r="X159" s="2"/>
      <c r="Y159" s="2"/>
      <c r="Z159" s="2"/>
      <c r="AA159" s="2"/>
      <c r="AB159" s="2"/>
    </row>
    <row r="160" spans="1:28" ht="13">
      <c r="A160" s="2"/>
      <c r="B160" s="2"/>
      <c r="C160" s="2"/>
      <c r="D160" s="2"/>
      <c r="E160" s="2"/>
      <c r="F160" s="2"/>
      <c r="G160" s="43"/>
      <c r="H160" s="2"/>
      <c r="I160" s="2"/>
      <c r="J160" s="2"/>
      <c r="K160" s="2"/>
      <c r="L160" s="2"/>
      <c r="M160" s="2"/>
      <c r="N160" s="2"/>
      <c r="O160" s="2"/>
      <c r="P160" s="2"/>
      <c r="Q160" s="2"/>
      <c r="R160" s="2"/>
      <c r="S160" s="2"/>
      <c r="T160" s="2"/>
      <c r="U160" s="2"/>
      <c r="V160" s="2"/>
      <c r="W160" s="2"/>
      <c r="X160" s="2"/>
      <c r="Y160" s="2"/>
      <c r="Z160" s="2"/>
      <c r="AA160" s="2"/>
      <c r="AB160" s="2"/>
    </row>
    <row r="161" spans="1:28" ht="13">
      <c r="A161" s="2"/>
      <c r="B161" s="2"/>
      <c r="C161" s="2"/>
      <c r="D161" s="2"/>
      <c r="E161" s="2"/>
      <c r="F161" s="2"/>
      <c r="G161" s="43"/>
      <c r="H161" s="2"/>
      <c r="I161" s="2"/>
      <c r="J161" s="2"/>
      <c r="K161" s="2"/>
      <c r="L161" s="2"/>
      <c r="M161" s="2"/>
      <c r="N161" s="2"/>
      <c r="O161" s="2"/>
      <c r="P161" s="2"/>
      <c r="Q161" s="2"/>
      <c r="R161" s="2"/>
      <c r="S161" s="2"/>
      <c r="T161" s="2"/>
      <c r="U161" s="2"/>
      <c r="V161" s="2"/>
      <c r="W161" s="2"/>
      <c r="X161" s="2"/>
      <c r="Y161" s="2"/>
      <c r="Z161" s="2"/>
      <c r="AA161" s="2"/>
      <c r="AB161" s="2"/>
    </row>
    <row r="162" spans="1:28" ht="13">
      <c r="A162" s="2"/>
      <c r="B162" s="2"/>
      <c r="C162" s="2"/>
      <c r="D162" s="2"/>
      <c r="E162" s="2"/>
      <c r="F162" s="2"/>
      <c r="G162" s="43"/>
      <c r="H162" s="2"/>
      <c r="I162" s="2"/>
      <c r="J162" s="2"/>
      <c r="K162" s="2"/>
      <c r="L162" s="2"/>
      <c r="M162" s="2"/>
      <c r="N162" s="2"/>
      <c r="O162" s="2"/>
      <c r="P162" s="2"/>
      <c r="Q162" s="2"/>
      <c r="R162" s="2"/>
      <c r="S162" s="2"/>
      <c r="T162" s="2"/>
      <c r="U162" s="2"/>
      <c r="V162" s="2"/>
      <c r="W162" s="2"/>
      <c r="X162" s="2"/>
      <c r="Y162" s="2"/>
      <c r="Z162" s="2"/>
      <c r="AA162" s="2"/>
      <c r="AB162" s="2"/>
    </row>
    <row r="163" spans="1:28" ht="13">
      <c r="A163" s="2"/>
      <c r="B163" s="2"/>
      <c r="C163" s="2"/>
      <c r="D163" s="2"/>
      <c r="E163" s="2"/>
      <c r="F163" s="2"/>
      <c r="G163" s="43"/>
      <c r="H163" s="2"/>
      <c r="I163" s="2"/>
      <c r="J163" s="2"/>
      <c r="K163" s="2"/>
      <c r="L163" s="2"/>
      <c r="M163" s="2"/>
      <c r="N163" s="2"/>
      <c r="O163" s="2"/>
      <c r="P163" s="2"/>
      <c r="Q163" s="2"/>
      <c r="R163" s="2"/>
      <c r="S163" s="2"/>
      <c r="T163" s="2"/>
      <c r="U163" s="2"/>
      <c r="V163" s="2"/>
      <c r="W163" s="2"/>
      <c r="X163" s="2"/>
      <c r="Y163" s="2"/>
      <c r="Z163" s="2"/>
      <c r="AA163" s="2"/>
      <c r="AB163" s="2"/>
    </row>
    <row r="164" spans="1:28" ht="13">
      <c r="A164" s="2"/>
      <c r="B164" s="2"/>
      <c r="C164" s="2"/>
      <c r="D164" s="2"/>
      <c r="E164" s="2"/>
      <c r="F164" s="2"/>
      <c r="G164" s="43"/>
      <c r="H164" s="2"/>
      <c r="I164" s="2"/>
      <c r="J164" s="2"/>
      <c r="K164" s="2"/>
      <c r="L164" s="2"/>
      <c r="M164" s="2"/>
      <c r="N164" s="2"/>
      <c r="O164" s="2"/>
      <c r="P164" s="2"/>
      <c r="Q164" s="2"/>
      <c r="R164" s="2"/>
      <c r="S164" s="2"/>
      <c r="T164" s="2"/>
      <c r="U164" s="2"/>
      <c r="V164" s="2"/>
      <c r="W164" s="2"/>
      <c r="X164" s="2"/>
      <c r="Y164" s="2"/>
      <c r="Z164" s="2"/>
      <c r="AA164" s="2"/>
      <c r="AB164" s="2"/>
    </row>
    <row r="165" spans="1:28" ht="13">
      <c r="A165" s="2"/>
      <c r="B165" s="2"/>
      <c r="C165" s="2"/>
      <c r="D165" s="2"/>
      <c r="E165" s="2"/>
      <c r="F165" s="2"/>
      <c r="G165" s="43"/>
      <c r="H165" s="2"/>
      <c r="I165" s="2"/>
      <c r="J165" s="2"/>
      <c r="K165" s="2"/>
      <c r="L165" s="2"/>
      <c r="M165" s="2"/>
      <c r="N165" s="2"/>
      <c r="O165" s="2"/>
      <c r="P165" s="2"/>
      <c r="Q165" s="2"/>
      <c r="R165" s="2"/>
      <c r="S165" s="2"/>
      <c r="T165" s="2"/>
      <c r="U165" s="2"/>
      <c r="V165" s="2"/>
      <c r="W165" s="2"/>
      <c r="X165" s="2"/>
      <c r="Y165" s="2"/>
      <c r="Z165" s="2"/>
      <c r="AA165" s="2"/>
      <c r="AB165" s="2"/>
    </row>
    <row r="166" spans="1:28" ht="13">
      <c r="A166" s="2"/>
      <c r="B166" s="2"/>
      <c r="C166" s="2"/>
      <c r="D166" s="2"/>
      <c r="E166" s="2"/>
      <c r="F166" s="2"/>
      <c r="G166" s="43"/>
      <c r="H166" s="2"/>
      <c r="I166" s="2"/>
      <c r="J166" s="2"/>
      <c r="K166" s="2"/>
      <c r="L166" s="2"/>
      <c r="M166" s="2"/>
      <c r="N166" s="2"/>
      <c r="O166" s="2"/>
      <c r="P166" s="2"/>
      <c r="Q166" s="2"/>
      <c r="R166" s="2"/>
      <c r="S166" s="2"/>
      <c r="T166" s="2"/>
      <c r="U166" s="2"/>
      <c r="V166" s="2"/>
      <c r="W166" s="2"/>
      <c r="X166" s="2"/>
      <c r="Y166" s="2"/>
      <c r="Z166" s="2"/>
      <c r="AA166" s="2"/>
      <c r="AB166" s="2"/>
    </row>
    <row r="167" spans="1:28" ht="13">
      <c r="A167" s="2"/>
      <c r="B167" s="2"/>
      <c r="C167" s="2"/>
      <c r="D167" s="2"/>
      <c r="E167" s="2"/>
      <c r="F167" s="2"/>
      <c r="G167" s="43"/>
      <c r="H167" s="2"/>
      <c r="I167" s="2"/>
      <c r="J167" s="2"/>
      <c r="K167" s="2"/>
      <c r="L167" s="2"/>
      <c r="M167" s="2"/>
      <c r="N167" s="2"/>
      <c r="O167" s="2"/>
      <c r="P167" s="2"/>
      <c r="Q167" s="2"/>
      <c r="R167" s="2"/>
      <c r="S167" s="2"/>
      <c r="T167" s="2"/>
      <c r="U167" s="2"/>
      <c r="V167" s="2"/>
      <c r="W167" s="2"/>
      <c r="X167" s="2"/>
      <c r="Y167" s="2"/>
      <c r="Z167" s="2"/>
      <c r="AA167" s="2"/>
      <c r="AB167" s="2"/>
    </row>
    <row r="168" spans="1:28" ht="13">
      <c r="A168" s="2"/>
      <c r="B168" s="2"/>
      <c r="C168" s="2"/>
      <c r="D168" s="2"/>
      <c r="E168" s="2"/>
      <c r="F168" s="2"/>
      <c r="G168" s="43"/>
      <c r="H168" s="2"/>
      <c r="I168" s="2"/>
      <c r="J168" s="2"/>
      <c r="K168" s="2"/>
      <c r="L168" s="2"/>
      <c r="M168" s="2"/>
      <c r="N168" s="2"/>
      <c r="O168" s="2"/>
      <c r="P168" s="2"/>
      <c r="Q168" s="2"/>
      <c r="R168" s="2"/>
      <c r="S168" s="2"/>
      <c r="T168" s="2"/>
      <c r="U168" s="2"/>
      <c r="V168" s="2"/>
      <c r="W168" s="2"/>
      <c r="X168" s="2"/>
      <c r="Y168" s="2"/>
      <c r="Z168" s="2"/>
      <c r="AA168" s="2"/>
      <c r="AB168" s="2"/>
    </row>
    <row r="169" spans="1:28" ht="13">
      <c r="A169" s="2"/>
      <c r="B169" s="2"/>
      <c r="C169" s="2"/>
      <c r="D169" s="2"/>
      <c r="E169" s="2"/>
      <c r="F169" s="2"/>
      <c r="G169" s="43"/>
      <c r="H169" s="2"/>
      <c r="I169" s="2"/>
      <c r="J169" s="2"/>
      <c r="K169" s="2"/>
      <c r="L169" s="2"/>
      <c r="M169" s="2"/>
      <c r="N169" s="2"/>
      <c r="O169" s="2"/>
      <c r="P169" s="2"/>
      <c r="Q169" s="2"/>
      <c r="R169" s="2"/>
      <c r="S169" s="2"/>
      <c r="T169" s="2"/>
      <c r="U169" s="2"/>
      <c r="V169" s="2"/>
      <c r="W169" s="2"/>
      <c r="X169" s="2"/>
      <c r="Y169" s="2"/>
      <c r="Z169" s="2"/>
      <c r="AA169" s="2"/>
      <c r="AB169" s="2"/>
    </row>
    <row r="170" spans="1:28" ht="13">
      <c r="A170" s="2"/>
      <c r="B170" s="2"/>
      <c r="C170" s="2"/>
      <c r="D170" s="2"/>
      <c r="E170" s="2"/>
      <c r="F170" s="2"/>
      <c r="G170" s="43"/>
      <c r="H170" s="2"/>
      <c r="I170" s="2"/>
      <c r="J170" s="2"/>
      <c r="K170" s="2"/>
      <c r="L170" s="2"/>
      <c r="M170" s="2"/>
      <c r="N170" s="2"/>
      <c r="O170" s="2"/>
      <c r="P170" s="2"/>
      <c r="Q170" s="2"/>
      <c r="R170" s="2"/>
      <c r="S170" s="2"/>
      <c r="T170" s="2"/>
      <c r="U170" s="2"/>
      <c r="V170" s="2"/>
      <c r="W170" s="2"/>
      <c r="X170" s="2"/>
      <c r="Y170" s="2"/>
      <c r="Z170" s="2"/>
      <c r="AA170" s="2"/>
      <c r="AB170" s="2"/>
    </row>
    <row r="171" spans="1:28" ht="13">
      <c r="A171" s="2"/>
      <c r="B171" s="2"/>
      <c r="C171" s="2"/>
      <c r="D171" s="2"/>
      <c r="E171" s="2"/>
      <c r="F171" s="2"/>
      <c r="G171" s="43"/>
      <c r="H171" s="2"/>
      <c r="I171" s="2"/>
      <c r="J171" s="2"/>
      <c r="K171" s="2"/>
      <c r="L171" s="2"/>
      <c r="M171" s="2"/>
      <c r="N171" s="2"/>
      <c r="O171" s="2"/>
      <c r="P171" s="2"/>
      <c r="Q171" s="2"/>
      <c r="R171" s="2"/>
      <c r="S171" s="2"/>
      <c r="T171" s="2"/>
      <c r="U171" s="2"/>
      <c r="V171" s="2"/>
      <c r="W171" s="2"/>
      <c r="X171" s="2"/>
      <c r="Y171" s="2"/>
      <c r="Z171" s="2"/>
      <c r="AA171" s="2"/>
      <c r="AB171" s="2"/>
    </row>
    <row r="172" spans="1:28" ht="13">
      <c r="A172" s="2"/>
      <c r="B172" s="2"/>
      <c r="C172" s="2"/>
      <c r="D172" s="2"/>
      <c r="E172" s="2"/>
      <c r="F172" s="2"/>
      <c r="G172" s="43"/>
      <c r="H172" s="2"/>
      <c r="I172" s="2"/>
      <c r="J172" s="2"/>
      <c r="K172" s="2"/>
      <c r="L172" s="2"/>
      <c r="M172" s="2"/>
      <c r="N172" s="2"/>
      <c r="O172" s="2"/>
      <c r="P172" s="2"/>
      <c r="Q172" s="2"/>
      <c r="R172" s="2"/>
      <c r="S172" s="2"/>
      <c r="T172" s="2"/>
      <c r="U172" s="2"/>
      <c r="V172" s="2"/>
      <c r="W172" s="2"/>
      <c r="X172" s="2"/>
      <c r="Y172" s="2"/>
      <c r="Z172" s="2"/>
      <c r="AA172" s="2"/>
      <c r="AB172" s="2"/>
    </row>
    <row r="173" spans="1:28" ht="13">
      <c r="A173" s="2"/>
      <c r="B173" s="2"/>
      <c r="C173" s="2"/>
      <c r="D173" s="2"/>
      <c r="E173" s="2"/>
      <c r="F173" s="2"/>
      <c r="G173" s="43"/>
      <c r="H173" s="2"/>
      <c r="I173" s="2"/>
      <c r="J173" s="2"/>
      <c r="K173" s="2"/>
      <c r="L173" s="2"/>
      <c r="M173" s="2"/>
      <c r="N173" s="2"/>
      <c r="O173" s="2"/>
      <c r="P173" s="2"/>
      <c r="Q173" s="2"/>
      <c r="R173" s="2"/>
      <c r="S173" s="2"/>
      <c r="T173" s="2"/>
      <c r="U173" s="2"/>
      <c r="V173" s="2"/>
      <c r="W173" s="2"/>
      <c r="X173" s="2"/>
      <c r="Y173" s="2"/>
      <c r="Z173" s="2"/>
      <c r="AA173" s="2"/>
      <c r="AB173" s="2"/>
    </row>
    <row r="174" spans="1:28" ht="13">
      <c r="A174" s="2"/>
      <c r="B174" s="2"/>
      <c r="C174" s="2"/>
      <c r="D174" s="2"/>
      <c r="E174" s="2"/>
      <c r="F174" s="2"/>
      <c r="G174" s="43"/>
      <c r="H174" s="2"/>
      <c r="I174" s="2"/>
      <c r="J174" s="2"/>
      <c r="K174" s="2"/>
      <c r="L174" s="2"/>
      <c r="M174" s="2"/>
      <c r="N174" s="2"/>
      <c r="O174" s="2"/>
      <c r="P174" s="2"/>
      <c r="Q174" s="2"/>
      <c r="R174" s="2"/>
      <c r="S174" s="2"/>
      <c r="T174" s="2"/>
      <c r="U174" s="2"/>
      <c r="V174" s="2"/>
      <c r="W174" s="2"/>
      <c r="X174" s="2"/>
      <c r="Y174" s="2"/>
      <c r="Z174" s="2"/>
      <c r="AA174" s="2"/>
      <c r="AB174" s="2"/>
    </row>
    <row r="175" spans="1:28" ht="13">
      <c r="A175" s="2"/>
      <c r="B175" s="2"/>
      <c r="C175" s="2"/>
      <c r="D175" s="2"/>
      <c r="E175" s="2"/>
      <c r="F175" s="2"/>
      <c r="G175" s="43"/>
      <c r="H175" s="2"/>
      <c r="I175" s="2"/>
      <c r="J175" s="2"/>
      <c r="K175" s="2"/>
      <c r="L175" s="2"/>
      <c r="M175" s="2"/>
      <c r="N175" s="2"/>
      <c r="O175" s="2"/>
      <c r="P175" s="2"/>
      <c r="Q175" s="2"/>
      <c r="R175" s="2"/>
      <c r="S175" s="2"/>
      <c r="T175" s="2"/>
      <c r="U175" s="2"/>
      <c r="V175" s="2"/>
      <c r="W175" s="2"/>
      <c r="X175" s="2"/>
      <c r="Y175" s="2"/>
      <c r="Z175" s="2"/>
      <c r="AA175" s="2"/>
      <c r="AB175" s="2"/>
    </row>
    <row r="176" spans="1:28" ht="13">
      <c r="A176" s="2"/>
      <c r="B176" s="2"/>
      <c r="C176" s="2"/>
      <c r="D176" s="2"/>
      <c r="E176" s="2"/>
      <c r="F176" s="2"/>
      <c r="G176" s="43"/>
      <c r="H176" s="2"/>
      <c r="I176" s="2"/>
      <c r="J176" s="2"/>
      <c r="K176" s="2"/>
      <c r="L176" s="2"/>
      <c r="M176" s="2"/>
      <c r="N176" s="2"/>
      <c r="O176" s="2"/>
      <c r="P176" s="2"/>
      <c r="Q176" s="2"/>
      <c r="R176" s="2"/>
      <c r="S176" s="2"/>
      <c r="T176" s="2"/>
      <c r="U176" s="2"/>
      <c r="V176" s="2"/>
      <c r="W176" s="2"/>
      <c r="X176" s="2"/>
      <c r="Y176" s="2"/>
      <c r="Z176" s="2"/>
      <c r="AA176" s="2"/>
      <c r="AB176" s="2"/>
    </row>
    <row r="177" spans="1:28" ht="13">
      <c r="A177" s="2"/>
      <c r="B177" s="2"/>
      <c r="C177" s="2"/>
      <c r="D177" s="2"/>
      <c r="E177" s="2"/>
      <c r="F177" s="2"/>
      <c r="G177" s="43"/>
      <c r="H177" s="2"/>
      <c r="I177" s="2"/>
      <c r="J177" s="2"/>
      <c r="K177" s="2"/>
      <c r="L177" s="2"/>
      <c r="M177" s="2"/>
      <c r="N177" s="2"/>
      <c r="O177" s="2"/>
      <c r="P177" s="2"/>
      <c r="Q177" s="2"/>
      <c r="R177" s="2"/>
      <c r="S177" s="2"/>
      <c r="T177" s="2"/>
      <c r="U177" s="2"/>
      <c r="V177" s="2"/>
      <c r="W177" s="2"/>
      <c r="X177" s="2"/>
      <c r="Y177" s="2"/>
      <c r="Z177" s="2"/>
      <c r="AA177" s="2"/>
      <c r="AB177" s="2"/>
    </row>
    <row r="178" spans="1:28" ht="13">
      <c r="A178" s="2"/>
      <c r="B178" s="2"/>
      <c r="C178" s="2"/>
      <c r="D178" s="2"/>
      <c r="E178" s="2"/>
      <c r="F178" s="2"/>
      <c r="G178" s="43"/>
      <c r="H178" s="2"/>
      <c r="I178" s="2"/>
      <c r="J178" s="2"/>
      <c r="K178" s="2"/>
      <c r="L178" s="2"/>
      <c r="M178" s="2"/>
      <c r="N178" s="2"/>
      <c r="O178" s="2"/>
      <c r="P178" s="2"/>
      <c r="Q178" s="2"/>
      <c r="R178" s="2"/>
      <c r="S178" s="2"/>
      <c r="T178" s="2"/>
      <c r="U178" s="2"/>
      <c r="V178" s="2"/>
      <c r="W178" s="2"/>
      <c r="X178" s="2"/>
      <c r="Y178" s="2"/>
      <c r="Z178" s="2"/>
      <c r="AA178" s="2"/>
      <c r="AB178" s="2"/>
    </row>
    <row r="179" spans="1:28" ht="13">
      <c r="A179" s="2"/>
      <c r="B179" s="2"/>
      <c r="C179" s="2"/>
      <c r="D179" s="2"/>
      <c r="E179" s="2"/>
      <c r="F179" s="2"/>
      <c r="G179" s="43"/>
      <c r="H179" s="2"/>
      <c r="I179" s="2"/>
      <c r="J179" s="2"/>
      <c r="K179" s="2"/>
      <c r="L179" s="2"/>
      <c r="M179" s="2"/>
      <c r="N179" s="2"/>
      <c r="O179" s="2"/>
      <c r="P179" s="2"/>
      <c r="Q179" s="2"/>
      <c r="R179" s="2"/>
      <c r="S179" s="2"/>
      <c r="T179" s="2"/>
      <c r="U179" s="2"/>
      <c r="V179" s="2"/>
      <c r="W179" s="2"/>
      <c r="X179" s="2"/>
      <c r="Y179" s="2"/>
      <c r="Z179" s="2"/>
      <c r="AA179" s="2"/>
      <c r="AB179" s="2"/>
    </row>
    <row r="180" spans="1:28" ht="13">
      <c r="A180" s="2"/>
      <c r="B180" s="2"/>
      <c r="C180" s="2"/>
      <c r="D180" s="2"/>
      <c r="E180" s="2"/>
      <c r="F180" s="2"/>
      <c r="G180" s="43"/>
      <c r="H180" s="2"/>
      <c r="I180" s="2"/>
      <c r="J180" s="2"/>
      <c r="K180" s="2"/>
      <c r="L180" s="2"/>
      <c r="M180" s="2"/>
      <c r="N180" s="2"/>
      <c r="O180" s="2"/>
      <c r="P180" s="2"/>
      <c r="Q180" s="2"/>
      <c r="R180" s="2"/>
      <c r="S180" s="2"/>
      <c r="T180" s="2"/>
      <c r="U180" s="2"/>
      <c r="V180" s="2"/>
      <c r="W180" s="2"/>
      <c r="X180" s="2"/>
      <c r="Y180" s="2"/>
      <c r="Z180" s="2"/>
      <c r="AA180" s="2"/>
      <c r="AB180" s="2"/>
    </row>
    <row r="181" spans="1:28" ht="13">
      <c r="A181" s="2"/>
      <c r="B181" s="2"/>
      <c r="C181" s="2"/>
      <c r="D181" s="2"/>
      <c r="E181" s="2"/>
      <c r="F181" s="2"/>
      <c r="G181" s="43"/>
      <c r="H181" s="2"/>
      <c r="I181" s="2"/>
      <c r="J181" s="2"/>
      <c r="K181" s="2"/>
      <c r="L181" s="2"/>
      <c r="M181" s="2"/>
      <c r="N181" s="2"/>
      <c r="O181" s="2"/>
      <c r="P181" s="2"/>
      <c r="Q181" s="2"/>
      <c r="R181" s="2"/>
      <c r="S181" s="2"/>
      <c r="T181" s="2"/>
      <c r="U181" s="2"/>
      <c r="V181" s="2"/>
      <c r="W181" s="2"/>
      <c r="X181" s="2"/>
      <c r="Y181" s="2"/>
      <c r="Z181" s="2"/>
      <c r="AA181" s="2"/>
      <c r="AB181" s="2"/>
    </row>
    <row r="182" spans="1:28" ht="13">
      <c r="A182" s="2"/>
      <c r="B182" s="2"/>
      <c r="C182" s="2"/>
      <c r="D182" s="2"/>
      <c r="E182" s="2"/>
      <c r="F182" s="2"/>
      <c r="G182" s="43"/>
      <c r="H182" s="2"/>
      <c r="I182" s="2"/>
      <c r="J182" s="2"/>
      <c r="K182" s="2"/>
      <c r="L182" s="2"/>
      <c r="M182" s="2"/>
      <c r="N182" s="2"/>
      <c r="O182" s="2"/>
      <c r="P182" s="2"/>
      <c r="Q182" s="2"/>
      <c r="R182" s="2"/>
      <c r="S182" s="2"/>
      <c r="T182" s="2"/>
      <c r="U182" s="2"/>
      <c r="V182" s="2"/>
      <c r="W182" s="2"/>
      <c r="X182" s="2"/>
      <c r="Y182" s="2"/>
      <c r="Z182" s="2"/>
      <c r="AA182" s="2"/>
      <c r="AB182" s="2"/>
    </row>
    <row r="183" spans="1:28" ht="13">
      <c r="A183" s="2"/>
      <c r="B183" s="2"/>
      <c r="C183" s="2"/>
      <c r="D183" s="2"/>
      <c r="E183" s="2"/>
      <c r="F183" s="2"/>
      <c r="G183" s="43"/>
      <c r="H183" s="2"/>
      <c r="I183" s="2"/>
      <c r="J183" s="2"/>
      <c r="K183" s="2"/>
      <c r="L183" s="2"/>
      <c r="M183" s="2"/>
      <c r="N183" s="2"/>
      <c r="O183" s="2"/>
      <c r="P183" s="2"/>
      <c r="Q183" s="2"/>
      <c r="R183" s="2"/>
      <c r="S183" s="2"/>
      <c r="T183" s="2"/>
      <c r="U183" s="2"/>
      <c r="V183" s="2"/>
      <c r="W183" s="2"/>
      <c r="X183" s="2"/>
      <c r="Y183" s="2"/>
      <c r="Z183" s="2"/>
      <c r="AA183" s="2"/>
      <c r="AB183" s="2"/>
    </row>
    <row r="184" spans="1:28" ht="13">
      <c r="A184" s="2"/>
      <c r="B184" s="2"/>
      <c r="C184" s="2"/>
      <c r="D184" s="2"/>
      <c r="E184" s="2"/>
      <c r="F184" s="2"/>
      <c r="G184" s="43"/>
      <c r="H184" s="2"/>
      <c r="I184" s="2"/>
      <c r="J184" s="2"/>
      <c r="K184" s="2"/>
      <c r="L184" s="2"/>
      <c r="M184" s="2"/>
      <c r="N184" s="2"/>
      <c r="O184" s="2"/>
      <c r="P184" s="2"/>
      <c r="Q184" s="2"/>
      <c r="R184" s="2"/>
      <c r="S184" s="2"/>
      <c r="T184" s="2"/>
      <c r="U184" s="2"/>
      <c r="V184" s="2"/>
      <c r="W184" s="2"/>
      <c r="X184" s="2"/>
      <c r="Y184" s="2"/>
      <c r="Z184" s="2"/>
      <c r="AA184" s="2"/>
      <c r="AB184" s="2"/>
    </row>
    <row r="185" spans="1:28" ht="13">
      <c r="A185" s="2"/>
      <c r="B185" s="2"/>
      <c r="C185" s="2"/>
      <c r="D185" s="2"/>
      <c r="E185" s="2"/>
      <c r="F185" s="2"/>
      <c r="G185" s="43"/>
      <c r="H185" s="2"/>
      <c r="I185" s="2"/>
      <c r="J185" s="2"/>
      <c r="K185" s="2"/>
      <c r="L185" s="2"/>
      <c r="M185" s="2"/>
      <c r="N185" s="2"/>
      <c r="O185" s="2"/>
      <c r="P185" s="2"/>
      <c r="Q185" s="2"/>
      <c r="R185" s="2"/>
      <c r="S185" s="2"/>
      <c r="T185" s="2"/>
      <c r="U185" s="2"/>
      <c r="V185" s="2"/>
      <c r="W185" s="2"/>
      <c r="X185" s="2"/>
      <c r="Y185" s="2"/>
      <c r="Z185" s="2"/>
      <c r="AA185" s="2"/>
      <c r="AB185" s="2"/>
    </row>
    <row r="186" spans="1:28" ht="13">
      <c r="A186" s="2"/>
      <c r="B186" s="2"/>
      <c r="C186" s="2"/>
      <c r="D186" s="2"/>
      <c r="E186" s="2"/>
      <c r="F186" s="2"/>
      <c r="G186" s="43"/>
      <c r="H186" s="2"/>
      <c r="I186" s="2"/>
      <c r="J186" s="2"/>
      <c r="K186" s="2"/>
      <c r="L186" s="2"/>
      <c r="M186" s="2"/>
      <c r="N186" s="2"/>
      <c r="O186" s="2"/>
      <c r="P186" s="2"/>
      <c r="Q186" s="2"/>
      <c r="R186" s="2"/>
      <c r="S186" s="2"/>
      <c r="T186" s="2"/>
      <c r="U186" s="2"/>
      <c r="V186" s="2"/>
      <c r="W186" s="2"/>
      <c r="X186" s="2"/>
      <c r="Y186" s="2"/>
      <c r="Z186" s="2"/>
      <c r="AA186" s="2"/>
      <c r="AB186" s="2"/>
    </row>
    <row r="187" spans="1:28" ht="13">
      <c r="A187" s="2"/>
      <c r="B187" s="2"/>
      <c r="C187" s="2"/>
      <c r="D187" s="2"/>
      <c r="E187" s="2"/>
      <c r="F187" s="2"/>
      <c r="G187" s="43"/>
      <c r="H187" s="2"/>
      <c r="I187" s="2"/>
      <c r="J187" s="2"/>
      <c r="K187" s="2"/>
      <c r="L187" s="2"/>
      <c r="M187" s="2"/>
      <c r="N187" s="2"/>
      <c r="O187" s="2"/>
      <c r="P187" s="2"/>
      <c r="Q187" s="2"/>
      <c r="R187" s="2"/>
      <c r="S187" s="2"/>
      <c r="T187" s="2"/>
      <c r="U187" s="2"/>
      <c r="V187" s="2"/>
      <c r="W187" s="2"/>
      <c r="X187" s="2"/>
      <c r="Y187" s="2"/>
      <c r="Z187" s="2"/>
      <c r="AA187" s="2"/>
      <c r="AB187" s="2"/>
    </row>
    <row r="188" spans="1:28" ht="13">
      <c r="A188" s="2"/>
      <c r="B188" s="2"/>
      <c r="C188" s="2"/>
      <c r="D188" s="2"/>
      <c r="E188" s="2"/>
      <c r="F188" s="2"/>
      <c r="G188" s="43"/>
      <c r="H188" s="2"/>
      <c r="I188" s="2"/>
      <c r="J188" s="2"/>
      <c r="K188" s="2"/>
      <c r="L188" s="2"/>
      <c r="M188" s="2"/>
      <c r="N188" s="2"/>
      <c r="O188" s="2"/>
      <c r="P188" s="2"/>
      <c r="Q188" s="2"/>
      <c r="R188" s="2"/>
      <c r="S188" s="2"/>
      <c r="T188" s="2"/>
      <c r="U188" s="2"/>
      <c r="V188" s="2"/>
      <c r="W188" s="2"/>
      <c r="X188" s="2"/>
      <c r="Y188" s="2"/>
      <c r="Z188" s="2"/>
      <c r="AA188" s="2"/>
      <c r="AB188" s="2"/>
    </row>
    <row r="189" spans="1:28" ht="13">
      <c r="A189" s="2"/>
      <c r="B189" s="2"/>
      <c r="C189" s="2"/>
      <c r="D189" s="2"/>
      <c r="E189" s="2"/>
      <c r="F189" s="2"/>
      <c r="G189" s="43"/>
      <c r="H189" s="2"/>
      <c r="I189" s="2"/>
      <c r="J189" s="2"/>
      <c r="K189" s="2"/>
      <c r="L189" s="2"/>
      <c r="M189" s="2"/>
      <c r="N189" s="2"/>
      <c r="O189" s="2"/>
      <c r="P189" s="2"/>
      <c r="Q189" s="2"/>
      <c r="R189" s="2"/>
      <c r="S189" s="2"/>
      <c r="T189" s="2"/>
      <c r="U189" s="2"/>
      <c r="V189" s="2"/>
      <c r="W189" s="2"/>
      <c r="X189" s="2"/>
      <c r="Y189" s="2"/>
      <c r="Z189" s="2"/>
      <c r="AA189" s="2"/>
      <c r="AB189" s="2"/>
    </row>
    <row r="190" spans="1:28" ht="13">
      <c r="A190" s="2"/>
      <c r="B190" s="2"/>
      <c r="C190" s="2"/>
      <c r="D190" s="2"/>
      <c r="E190" s="2"/>
      <c r="F190" s="2"/>
      <c r="G190" s="43"/>
      <c r="H190" s="2"/>
      <c r="I190" s="2"/>
      <c r="J190" s="2"/>
      <c r="K190" s="2"/>
      <c r="L190" s="2"/>
      <c r="M190" s="2"/>
      <c r="N190" s="2"/>
      <c r="O190" s="2"/>
      <c r="P190" s="2"/>
      <c r="Q190" s="2"/>
      <c r="R190" s="2"/>
      <c r="S190" s="2"/>
      <c r="T190" s="2"/>
      <c r="U190" s="2"/>
      <c r="V190" s="2"/>
      <c r="W190" s="2"/>
      <c r="X190" s="2"/>
      <c r="Y190" s="2"/>
      <c r="Z190" s="2"/>
      <c r="AA190" s="2"/>
      <c r="AB190" s="2"/>
    </row>
    <row r="191" spans="1:28" ht="13">
      <c r="A191" s="2"/>
      <c r="B191" s="2"/>
      <c r="C191" s="2"/>
      <c r="D191" s="2"/>
      <c r="E191" s="2"/>
      <c r="F191" s="2"/>
      <c r="G191" s="43"/>
      <c r="H191" s="2"/>
      <c r="I191" s="2"/>
      <c r="J191" s="2"/>
      <c r="K191" s="2"/>
      <c r="L191" s="2"/>
      <c r="M191" s="2"/>
      <c r="N191" s="2"/>
      <c r="O191" s="2"/>
      <c r="P191" s="2"/>
      <c r="Q191" s="2"/>
      <c r="R191" s="2"/>
      <c r="S191" s="2"/>
      <c r="T191" s="2"/>
      <c r="U191" s="2"/>
      <c r="V191" s="2"/>
      <c r="W191" s="2"/>
      <c r="X191" s="2"/>
      <c r="Y191" s="2"/>
      <c r="Z191" s="2"/>
      <c r="AA191" s="2"/>
      <c r="AB191" s="2"/>
    </row>
    <row r="192" spans="1:28" ht="13">
      <c r="A192" s="2"/>
      <c r="B192" s="2"/>
      <c r="C192" s="2"/>
      <c r="D192" s="2"/>
      <c r="E192" s="2"/>
      <c r="F192" s="2"/>
      <c r="G192" s="43"/>
      <c r="H192" s="2"/>
      <c r="I192" s="2"/>
      <c r="J192" s="2"/>
      <c r="K192" s="2"/>
      <c r="L192" s="2"/>
      <c r="M192" s="2"/>
      <c r="N192" s="2"/>
      <c r="O192" s="2"/>
      <c r="P192" s="2"/>
      <c r="Q192" s="2"/>
      <c r="R192" s="2"/>
      <c r="S192" s="2"/>
      <c r="T192" s="2"/>
      <c r="U192" s="2"/>
      <c r="V192" s="2"/>
      <c r="W192" s="2"/>
      <c r="X192" s="2"/>
      <c r="Y192" s="2"/>
      <c r="Z192" s="2"/>
      <c r="AA192" s="2"/>
      <c r="AB192" s="2"/>
    </row>
    <row r="193" spans="1:28" ht="13">
      <c r="A193" s="2"/>
      <c r="B193" s="2"/>
      <c r="C193" s="2"/>
      <c r="D193" s="2"/>
      <c r="E193" s="2"/>
      <c r="F193" s="2"/>
      <c r="G193" s="43"/>
      <c r="H193" s="2"/>
      <c r="I193" s="2"/>
      <c r="J193" s="2"/>
      <c r="K193" s="2"/>
      <c r="L193" s="2"/>
      <c r="M193" s="2"/>
      <c r="N193" s="2"/>
      <c r="O193" s="2"/>
      <c r="P193" s="2"/>
      <c r="Q193" s="2"/>
      <c r="R193" s="2"/>
      <c r="S193" s="2"/>
      <c r="T193" s="2"/>
      <c r="U193" s="2"/>
      <c r="V193" s="2"/>
      <c r="W193" s="2"/>
      <c r="X193" s="2"/>
      <c r="Y193" s="2"/>
      <c r="Z193" s="2"/>
      <c r="AA193" s="2"/>
      <c r="AB193" s="2"/>
    </row>
    <row r="194" spans="1:28" ht="13">
      <c r="A194" s="2"/>
      <c r="B194" s="2"/>
      <c r="C194" s="2"/>
      <c r="D194" s="2"/>
      <c r="E194" s="2"/>
      <c r="F194" s="2"/>
      <c r="G194" s="43"/>
      <c r="H194" s="2"/>
      <c r="I194" s="2"/>
      <c r="J194" s="2"/>
      <c r="K194" s="2"/>
      <c r="L194" s="2"/>
      <c r="M194" s="2"/>
      <c r="N194" s="2"/>
      <c r="O194" s="2"/>
      <c r="P194" s="2"/>
      <c r="Q194" s="2"/>
      <c r="R194" s="2"/>
      <c r="S194" s="2"/>
      <c r="T194" s="2"/>
      <c r="U194" s="2"/>
      <c r="V194" s="2"/>
      <c r="W194" s="2"/>
      <c r="X194" s="2"/>
      <c r="Y194" s="2"/>
      <c r="Z194" s="2"/>
      <c r="AA194" s="2"/>
      <c r="AB194" s="2"/>
    </row>
    <row r="195" spans="1:28" ht="13">
      <c r="A195" s="2"/>
      <c r="B195" s="2"/>
      <c r="C195" s="2"/>
      <c r="D195" s="2"/>
      <c r="E195" s="2"/>
      <c r="F195" s="2"/>
      <c r="G195" s="43"/>
      <c r="H195" s="2"/>
      <c r="I195" s="2"/>
      <c r="J195" s="2"/>
      <c r="K195" s="2"/>
      <c r="L195" s="2"/>
      <c r="M195" s="2"/>
      <c r="N195" s="2"/>
      <c r="O195" s="2"/>
      <c r="P195" s="2"/>
      <c r="Q195" s="2"/>
      <c r="R195" s="2"/>
      <c r="S195" s="2"/>
      <c r="T195" s="2"/>
      <c r="U195" s="2"/>
      <c r="V195" s="2"/>
      <c r="W195" s="2"/>
      <c r="X195" s="2"/>
      <c r="Y195" s="2"/>
      <c r="Z195" s="2"/>
      <c r="AA195" s="2"/>
      <c r="AB195" s="2"/>
    </row>
    <row r="196" spans="1:28" ht="13">
      <c r="A196" s="2"/>
      <c r="B196" s="2"/>
      <c r="C196" s="2"/>
      <c r="D196" s="2"/>
      <c r="E196" s="2"/>
      <c r="F196" s="2"/>
      <c r="G196" s="43"/>
      <c r="H196" s="2"/>
      <c r="I196" s="2"/>
      <c r="J196" s="2"/>
      <c r="K196" s="2"/>
      <c r="L196" s="2"/>
      <c r="M196" s="2"/>
      <c r="N196" s="2"/>
      <c r="O196" s="2"/>
      <c r="P196" s="2"/>
      <c r="Q196" s="2"/>
      <c r="R196" s="2"/>
      <c r="S196" s="2"/>
      <c r="T196" s="2"/>
      <c r="U196" s="2"/>
      <c r="V196" s="2"/>
      <c r="W196" s="2"/>
      <c r="X196" s="2"/>
      <c r="Y196" s="2"/>
      <c r="Z196" s="2"/>
      <c r="AA196" s="2"/>
      <c r="AB196" s="2"/>
    </row>
    <row r="197" spans="1:28" ht="13">
      <c r="A197" s="2"/>
      <c r="B197" s="2"/>
      <c r="C197" s="2"/>
      <c r="D197" s="2"/>
      <c r="E197" s="2"/>
      <c r="F197" s="2"/>
      <c r="G197" s="43"/>
      <c r="H197" s="2"/>
      <c r="I197" s="2"/>
      <c r="J197" s="2"/>
      <c r="K197" s="2"/>
      <c r="L197" s="2"/>
      <c r="M197" s="2"/>
      <c r="N197" s="2"/>
      <c r="O197" s="2"/>
      <c r="P197" s="2"/>
      <c r="Q197" s="2"/>
      <c r="R197" s="2"/>
      <c r="S197" s="2"/>
      <c r="T197" s="2"/>
      <c r="U197" s="2"/>
      <c r="V197" s="2"/>
      <c r="W197" s="2"/>
      <c r="X197" s="2"/>
      <c r="Y197" s="2"/>
      <c r="Z197" s="2"/>
      <c r="AA197" s="2"/>
      <c r="AB197" s="2"/>
    </row>
    <row r="198" spans="1:28" ht="13">
      <c r="A198" s="2"/>
      <c r="B198" s="2"/>
      <c r="C198" s="2"/>
      <c r="D198" s="2"/>
      <c r="E198" s="2"/>
      <c r="F198" s="2"/>
      <c r="G198" s="43"/>
      <c r="H198" s="2"/>
      <c r="I198" s="2"/>
      <c r="J198" s="2"/>
      <c r="K198" s="2"/>
      <c r="L198" s="2"/>
      <c r="M198" s="2"/>
      <c r="N198" s="2"/>
      <c r="O198" s="2"/>
      <c r="P198" s="2"/>
      <c r="Q198" s="2"/>
      <c r="R198" s="2"/>
      <c r="S198" s="2"/>
      <c r="T198" s="2"/>
      <c r="U198" s="2"/>
      <c r="V198" s="2"/>
      <c r="W198" s="2"/>
      <c r="X198" s="2"/>
      <c r="Y198" s="2"/>
      <c r="Z198" s="2"/>
      <c r="AA198" s="2"/>
      <c r="AB198" s="2"/>
    </row>
    <row r="199" spans="1:28" ht="13">
      <c r="A199" s="2"/>
      <c r="B199" s="2"/>
      <c r="C199" s="2"/>
      <c r="D199" s="2"/>
      <c r="E199" s="2"/>
      <c r="F199" s="2"/>
      <c r="G199" s="43"/>
      <c r="H199" s="2"/>
      <c r="I199" s="2"/>
      <c r="J199" s="2"/>
      <c r="K199" s="2"/>
      <c r="L199" s="2"/>
      <c r="M199" s="2"/>
      <c r="N199" s="2"/>
      <c r="O199" s="2"/>
      <c r="P199" s="2"/>
      <c r="Q199" s="2"/>
      <c r="R199" s="2"/>
      <c r="S199" s="2"/>
      <c r="T199" s="2"/>
      <c r="U199" s="2"/>
      <c r="V199" s="2"/>
      <c r="W199" s="2"/>
      <c r="X199" s="2"/>
      <c r="Y199" s="2"/>
      <c r="Z199" s="2"/>
      <c r="AA199" s="2"/>
      <c r="AB199" s="2"/>
    </row>
    <row r="200" spans="1:28" ht="13">
      <c r="A200" s="2"/>
      <c r="B200" s="2"/>
      <c r="C200" s="2"/>
      <c r="D200" s="2"/>
      <c r="E200" s="2"/>
      <c r="F200" s="2"/>
      <c r="G200" s="43"/>
      <c r="H200" s="2"/>
      <c r="I200" s="2"/>
      <c r="J200" s="2"/>
      <c r="K200" s="2"/>
      <c r="L200" s="2"/>
      <c r="M200" s="2"/>
      <c r="N200" s="2"/>
      <c r="O200" s="2"/>
      <c r="P200" s="2"/>
      <c r="Q200" s="2"/>
      <c r="R200" s="2"/>
      <c r="S200" s="2"/>
      <c r="T200" s="2"/>
      <c r="U200" s="2"/>
      <c r="V200" s="2"/>
      <c r="W200" s="2"/>
      <c r="X200" s="2"/>
      <c r="Y200" s="2"/>
      <c r="Z200" s="2"/>
      <c r="AA200" s="2"/>
      <c r="AB200" s="2"/>
    </row>
    <row r="201" spans="1:28" ht="13">
      <c r="A201" s="2"/>
      <c r="B201" s="2"/>
      <c r="C201" s="2"/>
      <c r="D201" s="2"/>
      <c r="E201" s="2"/>
      <c r="F201" s="2"/>
      <c r="G201" s="43"/>
      <c r="H201" s="2"/>
      <c r="I201" s="2"/>
      <c r="J201" s="2"/>
      <c r="K201" s="2"/>
      <c r="L201" s="2"/>
      <c r="M201" s="2"/>
      <c r="N201" s="2"/>
      <c r="O201" s="2"/>
      <c r="P201" s="2"/>
      <c r="Q201" s="2"/>
      <c r="R201" s="2"/>
      <c r="S201" s="2"/>
      <c r="T201" s="2"/>
      <c r="U201" s="2"/>
      <c r="V201" s="2"/>
      <c r="W201" s="2"/>
      <c r="X201" s="2"/>
      <c r="Y201" s="2"/>
      <c r="Z201" s="2"/>
      <c r="AA201" s="2"/>
      <c r="AB201" s="2"/>
    </row>
    <row r="202" spans="1:28" ht="13">
      <c r="A202" s="2"/>
      <c r="B202" s="2"/>
      <c r="C202" s="2"/>
      <c r="D202" s="2"/>
      <c r="E202" s="2"/>
      <c r="F202" s="2"/>
      <c r="G202" s="43"/>
      <c r="H202" s="2"/>
      <c r="I202" s="2"/>
      <c r="J202" s="2"/>
      <c r="K202" s="2"/>
      <c r="L202" s="2"/>
      <c r="M202" s="2"/>
      <c r="N202" s="2"/>
      <c r="O202" s="2"/>
      <c r="P202" s="2"/>
      <c r="Q202" s="2"/>
      <c r="R202" s="2"/>
      <c r="S202" s="2"/>
      <c r="T202" s="2"/>
      <c r="U202" s="2"/>
      <c r="V202" s="2"/>
      <c r="W202" s="2"/>
      <c r="X202" s="2"/>
      <c r="Y202" s="2"/>
      <c r="Z202" s="2"/>
      <c r="AA202" s="2"/>
      <c r="AB202" s="2"/>
    </row>
    <row r="203" spans="1:28" ht="13">
      <c r="A203" s="2"/>
      <c r="B203" s="2"/>
      <c r="C203" s="2"/>
      <c r="D203" s="2"/>
      <c r="E203" s="2"/>
      <c r="F203" s="2"/>
      <c r="G203" s="43"/>
      <c r="H203" s="2"/>
      <c r="I203" s="2"/>
      <c r="J203" s="2"/>
      <c r="K203" s="2"/>
      <c r="L203" s="2"/>
      <c r="M203" s="2"/>
      <c r="N203" s="2"/>
      <c r="O203" s="2"/>
      <c r="P203" s="2"/>
      <c r="Q203" s="2"/>
      <c r="R203" s="2"/>
      <c r="S203" s="2"/>
      <c r="T203" s="2"/>
      <c r="U203" s="2"/>
      <c r="V203" s="2"/>
      <c r="W203" s="2"/>
      <c r="X203" s="2"/>
      <c r="Y203" s="2"/>
      <c r="Z203" s="2"/>
      <c r="AA203" s="2"/>
      <c r="AB203" s="2"/>
    </row>
    <row r="204" spans="1:28" ht="13">
      <c r="A204" s="2"/>
      <c r="B204" s="2"/>
      <c r="C204" s="2"/>
      <c r="D204" s="2"/>
      <c r="E204" s="2"/>
      <c r="F204" s="2"/>
      <c r="G204" s="43"/>
      <c r="H204" s="2"/>
      <c r="I204" s="2"/>
      <c r="J204" s="2"/>
      <c r="K204" s="2"/>
      <c r="L204" s="2"/>
      <c r="M204" s="2"/>
      <c r="N204" s="2"/>
      <c r="O204" s="2"/>
      <c r="P204" s="2"/>
      <c r="Q204" s="2"/>
      <c r="R204" s="2"/>
      <c r="S204" s="2"/>
      <c r="T204" s="2"/>
      <c r="U204" s="2"/>
      <c r="V204" s="2"/>
      <c r="W204" s="2"/>
      <c r="X204" s="2"/>
      <c r="Y204" s="2"/>
      <c r="Z204" s="2"/>
      <c r="AA204" s="2"/>
      <c r="AB204" s="2"/>
    </row>
    <row r="205" spans="1:28" ht="13">
      <c r="A205" s="2"/>
      <c r="B205" s="2"/>
      <c r="C205" s="2"/>
      <c r="D205" s="2"/>
      <c r="E205" s="2"/>
      <c r="F205" s="2"/>
      <c r="G205" s="43"/>
      <c r="H205" s="2"/>
      <c r="I205" s="2"/>
      <c r="J205" s="2"/>
      <c r="K205" s="2"/>
      <c r="L205" s="2"/>
      <c r="M205" s="2"/>
      <c r="N205" s="2"/>
      <c r="O205" s="2"/>
      <c r="P205" s="2"/>
      <c r="Q205" s="2"/>
      <c r="R205" s="2"/>
      <c r="S205" s="2"/>
      <c r="T205" s="2"/>
      <c r="U205" s="2"/>
      <c r="V205" s="2"/>
      <c r="W205" s="2"/>
      <c r="X205" s="2"/>
      <c r="Y205" s="2"/>
      <c r="Z205" s="2"/>
      <c r="AA205" s="2"/>
      <c r="AB205" s="2"/>
    </row>
    <row r="206" spans="1:28" ht="13">
      <c r="A206" s="2"/>
      <c r="B206" s="2"/>
      <c r="C206" s="2"/>
      <c r="D206" s="2"/>
      <c r="E206" s="2"/>
      <c r="F206" s="2"/>
      <c r="G206" s="43"/>
      <c r="H206" s="2"/>
      <c r="I206" s="2"/>
      <c r="J206" s="2"/>
      <c r="K206" s="2"/>
      <c r="L206" s="2"/>
      <c r="M206" s="2"/>
      <c r="N206" s="2"/>
      <c r="O206" s="2"/>
      <c r="P206" s="2"/>
      <c r="Q206" s="2"/>
      <c r="R206" s="2"/>
      <c r="S206" s="2"/>
      <c r="T206" s="2"/>
      <c r="U206" s="2"/>
      <c r="V206" s="2"/>
      <c r="W206" s="2"/>
      <c r="X206" s="2"/>
      <c r="Y206" s="2"/>
      <c r="Z206" s="2"/>
      <c r="AA206" s="2"/>
      <c r="AB206" s="2"/>
    </row>
    <row r="207" spans="1:28" ht="13">
      <c r="A207" s="2"/>
      <c r="B207" s="2"/>
      <c r="C207" s="2"/>
      <c r="D207" s="2"/>
      <c r="E207" s="2"/>
      <c r="F207" s="2"/>
      <c r="G207" s="43"/>
      <c r="H207" s="2"/>
      <c r="I207" s="2"/>
      <c r="J207" s="2"/>
      <c r="K207" s="2"/>
      <c r="L207" s="2"/>
      <c r="M207" s="2"/>
      <c r="N207" s="2"/>
      <c r="O207" s="2"/>
      <c r="P207" s="2"/>
      <c r="Q207" s="2"/>
      <c r="R207" s="2"/>
      <c r="S207" s="2"/>
      <c r="T207" s="2"/>
      <c r="U207" s="2"/>
      <c r="V207" s="2"/>
      <c r="W207" s="2"/>
      <c r="X207" s="2"/>
      <c r="Y207" s="2"/>
      <c r="Z207" s="2"/>
      <c r="AA207" s="2"/>
      <c r="AB207" s="2"/>
    </row>
    <row r="208" spans="1:28" ht="13">
      <c r="A208" s="2"/>
      <c r="B208" s="2"/>
      <c r="C208" s="2"/>
      <c r="D208" s="2"/>
      <c r="E208" s="2"/>
      <c r="F208" s="2"/>
      <c r="G208" s="43"/>
      <c r="H208" s="2"/>
      <c r="I208" s="2"/>
      <c r="J208" s="2"/>
      <c r="K208" s="2"/>
      <c r="L208" s="2"/>
      <c r="M208" s="2"/>
      <c r="N208" s="2"/>
      <c r="O208" s="2"/>
      <c r="P208" s="2"/>
      <c r="Q208" s="2"/>
      <c r="R208" s="2"/>
      <c r="S208" s="2"/>
      <c r="T208" s="2"/>
      <c r="U208" s="2"/>
      <c r="V208" s="2"/>
      <c r="W208" s="2"/>
      <c r="X208" s="2"/>
      <c r="Y208" s="2"/>
      <c r="Z208" s="2"/>
      <c r="AA208" s="2"/>
      <c r="AB208" s="2"/>
    </row>
    <row r="209" spans="1:28" ht="13">
      <c r="A209" s="2"/>
      <c r="B209" s="2"/>
      <c r="C209" s="2"/>
      <c r="D209" s="2"/>
      <c r="E209" s="2"/>
      <c r="F209" s="2"/>
      <c r="G209" s="43"/>
      <c r="H209" s="2"/>
      <c r="I209" s="2"/>
      <c r="J209" s="2"/>
      <c r="K209" s="2"/>
      <c r="L209" s="2"/>
      <c r="M209" s="2"/>
      <c r="N209" s="2"/>
      <c r="O209" s="2"/>
      <c r="P209" s="2"/>
      <c r="Q209" s="2"/>
      <c r="R209" s="2"/>
      <c r="S209" s="2"/>
      <c r="T209" s="2"/>
      <c r="U209" s="2"/>
      <c r="V209" s="2"/>
      <c r="W209" s="2"/>
      <c r="X209" s="2"/>
      <c r="Y209" s="2"/>
      <c r="Z209" s="2"/>
      <c r="AA209" s="2"/>
      <c r="AB209" s="2"/>
    </row>
    <row r="210" spans="1:28" ht="13">
      <c r="A210" s="2"/>
      <c r="B210" s="2"/>
      <c r="C210" s="2"/>
      <c r="D210" s="2"/>
      <c r="E210" s="2"/>
      <c r="F210" s="2"/>
      <c r="G210" s="43"/>
      <c r="H210" s="2"/>
      <c r="I210" s="2"/>
      <c r="J210" s="2"/>
      <c r="K210" s="2"/>
      <c r="L210" s="2"/>
      <c r="M210" s="2"/>
      <c r="N210" s="2"/>
      <c r="O210" s="2"/>
      <c r="P210" s="2"/>
      <c r="Q210" s="2"/>
      <c r="R210" s="2"/>
      <c r="S210" s="2"/>
      <c r="T210" s="2"/>
      <c r="U210" s="2"/>
      <c r="V210" s="2"/>
      <c r="W210" s="2"/>
      <c r="X210" s="2"/>
      <c r="Y210" s="2"/>
      <c r="Z210" s="2"/>
      <c r="AA210" s="2"/>
      <c r="AB210" s="2"/>
    </row>
    <row r="211" spans="1:28" ht="13">
      <c r="A211" s="2"/>
      <c r="B211" s="2"/>
      <c r="C211" s="2"/>
      <c r="D211" s="2"/>
      <c r="E211" s="2"/>
      <c r="F211" s="2"/>
      <c r="G211" s="43"/>
      <c r="H211" s="2"/>
      <c r="I211" s="2"/>
      <c r="J211" s="2"/>
      <c r="K211" s="2"/>
      <c r="L211" s="2"/>
      <c r="M211" s="2"/>
      <c r="N211" s="2"/>
      <c r="O211" s="2"/>
      <c r="P211" s="2"/>
      <c r="Q211" s="2"/>
      <c r="R211" s="2"/>
      <c r="S211" s="2"/>
      <c r="T211" s="2"/>
      <c r="U211" s="2"/>
      <c r="V211" s="2"/>
      <c r="W211" s="2"/>
      <c r="X211" s="2"/>
      <c r="Y211" s="2"/>
      <c r="Z211" s="2"/>
      <c r="AA211" s="2"/>
      <c r="AB211" s="2"/>
    </row>
    <row r="212" spans="1:28" ht="13">
      <c r="A212" s="2"/>
      <c r="B212" s="2"/>
      <c r="C212" s="2"/>
      <c r="D212" s="2"/>
      <c r="E212" s="2"/>
      <c r="F212" s="2"/>
      <c r="G212" s="43"/>
      <c r="H212" s="2"/>
      <c r="I212" s="2"/>
      <c r="J212" s="2"/>
      <c r="K212" s="2"/>
      <c r="L212" s="2"/>
      <c r="M212" s="2"/>
      <c r="N212" s="2"/>
      <c r="O212" s="2"/>
      <c r="P212" s="2"/>
      <c r="Q212" s="2"/>
      <c r="R212" s="2"/>
      <c r="S212" s="2"/>
      <c r="T212" s="2"/>
      <c r="U212" s="2"/>
      <c r="V212" s="2"/>
      <c r="W212" s="2"/>
      <c r="X212" s="2"/>
      <c r="Y212" s="2"/>
      <c r="Z212" s="2"/>
      <c r="AA212" s="2"/>
      <c r="AB212" s="2"/>
    </row>
    <row r="213" spans="1:28" ht="13">
      <c r="A213" s="2"/>
      <c r="B213" s="2"/>
      <c r="C213" s="2"/>
      <c r="D213" s="2"/>
      <c r="E213" s="2"/>
      <c r="F213" s="2"/>
      <c r="G213" s="43"/>
      <c r="H213" s="2"/>
      <c r="I213" s="2"/>
      <c r="J213" s="2"/>
      <c r="K213" s="2"/>
      <c r="L213" s="2"/>
      <c r="M213" s="2"/>
      <c r="N213" s="2"/>
      <c r="O213" s="2"/>
      <c r="P213" s="2"/>
      <c r="Q213" s="2"/>
      <c r="R213" s="2"/>
      <c r="S213" s="2"/>
      <c r="T213" s="2"/>
      <c r="U213" s="2"/>
      <c r="V213" s="2"/>
      <c r="W213" s="2"/>
      <c r="X213" s="2"/>
      <c r="Y213" s="2"/>
      <c r="Z213" s="2"/>
      <c r="AA213" s="2"/>
      <c r="AB213" s="2"/>
    </row>
    <row r="214" spans="1:28" ht="13">
      <c r="A214" s="2"/>
      <c r="B214" s="2"/>
      <c r="C214" s="2"/>
      <c r="D214" s="2"/>
      <c r="E214" s="2"/>
      <c r="F214" s="2"/>
      <c r="G214" s="43"/>
      <c r="H214" s="2"/>
      <c r="I214" s="2"/>
      <c r="J214" s="2"/>
      <c r="K214" s="2"/>
      <c r="L214" s="2"/>
      <c r="M214" s="2"/>
      <c r="N214" s="2"/>
      <c r="O214" s="2"/>
      <c r="P214" s="2"/>
      <c r="Q214" s="2"/>
      <c r="R214" s="2"/>
      <c r="S214" s="2"/>
      <c r="T214" s="2"/>
      <c r="U214" s="2"/>
      <c r="V214" s="2"/>
      <c r="W214" s="2"/>
      <c r="X214" s="2"/>
      <c r="Y214" s="2"/>
      <c r="Z214" s="2"/>
      <c r="AA214" s="2"/>
      <c r="AB214" s="2"/>
    </row>
    <row r="215" spans="1:28" ht="13">
      <c r="A215" s="2"/>
      <c r="B215" s="2"/>
      <c r="C215" s="2"/>
      <c r="D215" s="2"/>
      <c r="E215" s="2"/>
      <c r="F215" s="2"/>
      <c r="G215" s="43"/>
      <c r="H215" s="2"/>
      <c r="I215" s="2"/>
      <c r="J215" s="2"/>
      <c r="K215" s="2"/>
      <c r="L215" s="2"/>
      <c r="M215" s="2"/>
      <c r="N215" s="2"/>
      <c r="O215" s="2"/>
      <c r="P215" s="2"/>
      <c r="Q215" s="2"/>
      <c r="R215" s="2"/>
      <c r="S215" s="2"/>
      <c r="T215" s="2"/>
      <c r="U215" s="2"/>
      <c r="V215" s="2"/>
      <c r="W215" s="2"/>
      <c r="X215" s="2"/>
      <c r="Y215" s="2"/>
      <c r="Z215" s="2"/>
      <c r="AA215" s="2"/>
      <c r="AB215" s="2"/>
    </row>
    <row r="216" spans="1:28" ht="13">
      <c r="A216" s="2"/>
      <c r="B216" s="2"/>
      <c r="C216" s="2"/>
      <c r="D216" s="2"/>
      <c r="E216" s="2"/>
      <c r="F216" s="2"/>
      <c r="G216" s="43"/>
      <c r="H216" s="2"/>
      <c r="I216" s="2"/>
      <c r="J216" s="2"/>
      <c r="K216" s="2"/>
      <c r="L216" s="2"/>
      <c r="M216" s="2"/>
      <c r="N216" s="2"/>
      <c r="O216" s="2"/>
      <c r="P216" s="2"/>
      <c r="Q216" s="2"/>
      <c r="R216" s="2"/>
      <c r="S216" s="2"/>
      <c r="T216" s="2"/>
      <c r="U216" s="2"/>
      <c r="V216" s="2"/>
      <c r="W216" s="2"/>
      <c r="X216" s="2"/>
      <c r="Y216" s="2"/>
      <c r="Z216" s="2"/>
      <c r="AA216" s="2"/>
      <c r="AB216" s="2"/>
    </row>
    <row r="217" spans="1:28" ht="13">
      <c r="A217" s="2"/>
      <c r="B217" s="2"/>
      <c r="C217" s="2"/>
      <c r="D217" s="2"/>
      <c r="E217" s="2"/>
      <c r="F217" s="2"/>
      <c r="G217" s="43"/>
      <c r="H217" s="2"/>
      <c r="I217" s="2"/>
      <c r="J217" s="2"/>
      <c r="K217" s="2"/>
      <c r="L217" s="2"/>
      <c r="M217" s="2"/>
      <c r="N217" s="2"/>
      <c r="O217" s="2"/>
      <c r="P217" s="2"/>
      <c r="Q217" s="2"/>
      <c r="R217" s="2"/>
      <c r="S217" s="2"/>
      <c r="T217" s="2"/>
      <c r="U217" s="2"/>
      <c r="V217" s="2"/>
      <c r="W217" s="2"/>
      <c r="X217" s="2"/>
      <c r="Y217" s="2"/>
      <c r="Z217" s="2"/>
      <c r="AA217" s="2"/>
      <c r="AB217" s="2"/>
    </row>
    <row r="218" spans="1:28" ht="13">
      <c r="A218" s="2"/>
      <c r="B218" s="2"/>
      <c r="C218" s="2"/>
      <c r="D218" s="2"/>
      <c r="E218" s="2"/>
      <c r="F218" s="2"/>
      <c r="G218" s="43"/>
      <c r="H218" s="2"/>
      <c r="I218" s="2"/>
      <c r="J218" s="2"/>
      <c r="K218" s="2"/>
      <c r="L218" s="2"/>
      <c r="M218" s="2"/>
      <c r="N218" s="2"/>
      <c r="O218" s="2"/>
      <c r="P218" s="2"/>
      <c r="Q218" s="2"/>
      <c r="R218" s="2"/>
      <c r="S218" s="2"/>
      <c r="T218" s="2"/>
      <c r="U218" s="2"/>
      <c r="V218" s="2"/>
      <c r="W218" s="2"/>
      <c r="X218" s="2"/>
      <c r="Y218" s="2"/>
      <c r="Z218" s="2"/>
      <c r="AA218" s="2"/>
      <c r="AB218" s="2"/>
    </row>
    <row r="219" spans="1:28" ht="13">
      <c r="A219" s="2"/>
      <c r="B219" s="2"/>
      <c r="C219" s="2"/>
      <c r="D219" s="2"/>
      <c r="E219" s="2"/>
      <c r="F219" s="2"/>
      <c r="G219" s="43"/>
      <c r="H219" s="2"/>
      <c r="I219" s="2"/>
      <c r="J219" s="2"/>
      <c r="K219" s="2"/>
      <c r="L219" s="2"/>
      <c r="M219" s="2"/>
      <c r="N219" s="2"/>
      <c r="O219" s="2"/>
      <c r="P219" s="2"/>
      <c r="Q219" s="2"/>
      <c r="R219" s="2"/>
      <c r="S219" s="2"/>
      <c r="T219" s="2"/>
      <c r="U219" s="2"/>
      <c r="V219" s="2"/>
      <c r="W219" s="2"/>
      <c r="X219" s="2"/>
      <c r="Y219" s="2"/>
      <c r="Z219" s="2"/>
      <c r="AA219" s="2"/>
      <c r="AB219" s="2"/>
    </row>
    <row r="220" spans="1:28" ht="13">
      <c r="A220" s="2"/>
      <c r="B220" s="2"/>
      <c r="C220" s="2"/>
      <c r="D220" s="2"/>
      <c r="E220" s="2"/>
      <c r="F220" s="2"/>
      <c r="G220" s="43"/>
      <c r="H220" s="2"/>
      <c r="I220" s="2"/>
      <c r="J220" s="2"/>
      <c r="K220" s="2"/>
      <c r="L220" s="2"/>
      <c r="M220" s="2"/>
      <c r="N220" s="2"/>
      <c r="O220" s="2"/>
      <c r="P220" s="2"/>
      <c r="Q220" s="2"/>
      <c r="R220" s="2"/>
      <c r="S220" s="2"/>
      <c r="T220" s="2"/>
      <c r="U220" s="2"/>
      <c r="V220" s="2"/>
      <c r="W220" s="2"/>
      <c r="X220" s="2"/>
      <c r="Y220" s="2"/>
      <c r="Z220" s="2"/>
      <c r="AA220" s="2"/>
      <c r="AB220" s="2"/>
    </row>
    <row r="221" spans="1:28" ht="13">
      <c r="A221" s="2"/>
      <c r="B221" s="2"/>
      <c r="C221" s="2"/>
      <c r="D221" s="2"/>
      <c r="E221" s="2"/>
      <c r="F221" s="2"/>
      <c r="G221" s="43"/>
      <c r="H221" s="2"/>
      <c r="I221" s="2"/>
      <c r="J221" s="2"/>
      <c r="K221" s="2"/>
      <c r="L221" s="2"/>
      <c r="M221" s="2"/>
      <c r="N221" s="2"/>
      <c r="O221" s="2"/>
      <c r="P221" s="2"/>
      <c r="Q221" s="2"/>
      <c r="R221" s="2"/>
      <c r="S221" s="2"/>
      <c r="T221" s="2"/>
      <c r="U221" s="2"/>
      <c r="V221" s="2"/>
      <c r="W221" s="2"/>
      <c r="X221" s="2"/>
      <c r="Y221" s="2"/>
      <c r="Z221" s="2"/>
      <c r="AA221" s="2"/>
      <c r="AB221" s="2"/>
    </row>
    <row r="222" spans="1:28" ht="13">
      <c r="A222" s="2"/>
      <c r="B222" s="2"/>
      <c r="C222" s="2"/>
      <c r="D222" s="2"/>
      <c r="E222" s="2"/>
      <c r="F222" s="2"/>
      <c r="G222" s="43"/>
      <c r="H222" s="2"/>
      <c r="I222" s="2"/>
      <c r="J222" s="2"/>
      <c r="K222" s="2"/>
      <c r="L222" s="2"/>
      <c r="M222" s="2"/>
      <c r="N222" s="2"/>
      <c r="O222" s="2"/>
      <c r="P222" s="2"/>
      <c r="Q222" s="2"/>
      <c r="R222" s="2"/>
      <c r="S222" s="2"/>
      <c r="T222" s="2"/>
      <c r="U222" s="2"/>
      <c r="V222" s="2"/>
      <c r="W222" s="2"/>
      <c r="X222" s="2"/>
      <c r="Y222" s="2"/>
      <c r="Z222" s="2"/>
      <c r="AA222" s="2"/>
      <c r="AB222" s="2"/>
    </row>
    <row r="223" spans="1:28" ht="13">
      <c r="A223" s="2"/>
      <c r="B223" s="2"/>
      <c r="C223" s="2"/>
      <c r="D223" s="2"/>
      <c r="E223" s="2"/>
      <c r="F223" s="2"/>
      <c r="G223" s="43"/>
      <c r="H223" s="2"/>
      <c r="I223" s="2"/>
      <c r="J223" s="2"/>
      <c r="K223" s="2"/>
      <c r="L223" s="2"/>
      <c r="M223" s="2"/>
      <c r="N223" s="2"/>
      <c r="O223" s="2"/>
      <c r="P223" s="2"/>
      <c r="Q223" s="2"/>
      <c r="R223" s="2"/>
      <c r="S223" s="2"/>
      <c r="T223" s="2"/>
      <c r="U223" s="2"/>
      <c r="V223" s="2"/>
      <c r="W223" s="2"/>
      <c r="X223" s="2"/>
      <c r="Y223" s="2"/>
      <c r="Z223" s="2"/>
      <c r="AA223" s="2"/>
      <c r="AB223" s="2"/>
    </row>
    <row r="224" spans="1:28" ht="13">
      <c r="A224" s="2"/>
      <c r="B224" s="2"/>
      <c r="C224" s="2"/>
      <c r="D224" s="2"/>
      <c r="E224" s="2"/>
      <c r="F224" s="2"/>
      <c r="G224" s="43"/>
      <c r="H224" s="2"/>
      <c r="I224" s="2"/>
      <c r="J224" s="2"/>
      <c r="K224" s="2"/>
      <c r="L224" s="2"/>
      <c r="M224" s="2"/>
      <c r="N224" s="2"/>
      <c r="O224" s="2"/>
      <c r="P224" s="2"/>
      <c r="Q224" s="2"/>
      <c r="R224" s="2"/>
      <c r="S224" s="2"/>
      <c r="T224" s="2"/>
      <c r="U224" s="2"/>
      <c r="V224" s="2"/>
      <c r="W224" s="2"/>
      <c r="X224" s="2"/>
      <c r="Y224" s="2"/>
      <c r="Z224" s="2"/>
      <c r="AA224" s="2"/>
      <c r="AB224" s="2"/>
    </row>
    <row r="225" spans="1:28" ht="13">
      <c r="A225" s="2"/>
      <c r="B225" s="2"/>
      <c r="C225" s="2"/>
      <c r="D225" s="2"/>
      <c r="E225" s="2"/>
      <c r="F225" s="2"/>
      <c r="G225" s="43"/>
      <c r="H225" s="2"/>
      <c r="I225" s="2"/>
      <c r="J225" s="2"/>
      <c r="K225" s="2"/>
      <c r="L225" s="2"/>
      <c r="M225" s="2"/>
      <c r="N225" s="2"/>
      <c r="O225" s="2"/>
      <c r="P225" s="2"/>
      <c r="Q225" s="2"/>
      <c r="R225" s="2"/>
      <c r="S225" s="2"/>
      <c r="T225" s="2"/>
      <c r="U225" s="2"/>
      <c r="V225" s="2"/>
      <c r="W225" s="2"/>
      <c r="X225" s="2"/>
      <c r="Y225" s="2"/>
      <c r="Z225" s="2"/>
      <c r="AA225" s="2"/>
      <c r="AB225" s="2"/>
    </row>
    <row r="226" spans="1:28" ht="13">
      <c r="A226" s="2"/>
      <c r="B226" s="2"/>
      <c r="C226" s="2"/>
      <c r="D226" s="2"/>
      <c r="E226" s="2"/>
      <c r="F226" s="2"/>
      <c r="G226" s="43"/>
      <c r="H226" s="2"/>
      <c r="I226" s="2"/>
      <c r="J226" s="2"/>
      <c r="K226" s="2"/>
      <c r="L226" s="2"/>
      <c r="M226" s="2"/>
      <c r="N226" s="2"/>
      <c r="O226" s="2"/>
      <c r="P226" s="2"/>
      <c r="Q226" s="2"/>
      <c r="R226" s="2"/>
      <c r="S226" s="2"/>
      <c r="T226" s="2"/>
      <c r="U226" s="2"/>
      <c r="V226" s="2"/>
      <c r="W226" s="2"/>
      <c r="X226" s="2"/>
      <c r="Y226" s="2"/>
      <c r="Z226" s="2"/>
      <c r="AA226" s="2"/>
      <c r="AB226" s="2"/>
    </row>
    <row r="227" spans="1:28" ht="13">
      <c r="A227" s="2"/>
      <c r="B227" s="2"/>
      <c r="C227" s="2"/>
      <c r="D227" s="2"/>
      <c r="E227" s="2"/>
      <c r="F227" s="2"/>
      <c r="G227" s="43"/>
      <c r="H227" s="2"/>
      <c r="I227" s="2"/>
      <c r="J227" s="2"/>
      <c r="K227" s="2"/>
      <c r="L227" s="2"/>
      <c r="M227" s="2"/>
      <c r="N227" s="2"/>
      <c r="O227" s="2"/>
      <c r="P227" s="2"/>
      <c r="Q227" s="2"/>
      <c r="R227" s="2"/>
      <c r="S227" s="2"/>
      <c r="T227" s="2"/>
      <c r="U227" s="2"/>
      <c r="V227" s="2"/>
      <c r="W227" s="2"/>
      <c r="X227" s="2"/>
      <c r="Y227" s="2"/>
      <c r="Z227" s="2"/>
      <c r="AA227" s="2"/>
      <c r="AB227" s="2"/>
    </row>
    <row r="228" spans="1:28" ht="13">
      <c r="A228" s="2"/>
      <c r="B228" s="2"/>
      <c r="C228" s="2"/>
      <c r="D228" s="2"/>
      <c r="E228" s="2"/>
      <c r="F228" s="2"/>
      <c r="G228" s="43"/>
      <c r="H228" s="2"/>
      <c r="I228" s="2"/>
      <c r="J228" s="2"/>
      <c r="K228" s="2"/>
      <c r="L228" s="2"/>
      <c r="M228" s="2"/>
      <c r="N228" s="2"/>
      <c r="O228" s="2"/>
      <c r="P228" s="2"/>
      <c r="Q228" s="2"/>
      <c r="R228" s="2"/>
      <c r="S228" s="2"/>
      <c r="T228" s="2"/>
      <c r="U228" s="2"/>
      <c r="V228" s="2"/>
      <c r="W228" s="2"/>
      <c r="X228" s="2"/>
      <c r="Y228" s="2"/>
      <c r="Z228" s="2"/>
      <c r="AA228" s="2"/>
      <c r="AB228" s="2"/>
    </row>
    <row r="229" spans="1:28" ht="13">
      <c r="A229" s="2"/>
      <c r="B229" s="2"/>
      <c r="C229" s="2"/>
      <c r="D229" s="2"/>
      <c r="E229" s="2"/>
      <c r="F229" s="2"/>
      <c r="G229" s="43"/>
      <c r="H229" s="2"/>
      <c r="I229" s="2"/>
      <c r="J229" s="2"/>
      <c r="K229" s="2"/>
      <c r="L229" s="2"/>
      <c r="M229" s="2"/>
      <c r="N229" s="2"/>
      <c r="O229" s="2"/>
      <c r="P229" s="2"/>
      <c r="Q229" s="2"/>
      <c r="R229" s="2"/>
      <c r="S229" s="2"/>
      <c r="T229" s="2"/>
      <c r="U229" s="2"/>
      <c r="V229" s="2"/>
      <c r="W229" s="2"/>
      <c r="X229" s="2"/>
      <c r="Y229" s="2"/>
      <c r="Z229" s="2"/>
      <c r="AA229" s="2"/>
      <c r="AB229" s="2"/>
    </row>
    <row r="230" spans="1:28" ht="13">
      <c r="A230" s="2"/>
      <c r="B230" s="2"/>
      <c r="C230" s="2"/>
      <c r="D230" s="2"/>
      <c r="E230" s="2"/>
      <c r="F230" s="2"/>
      <c r="G230" s="43"/>
      <c r="H230" s="2"/>
      <c r="I230" s="2"/>
      <c r="J230" s="2"/>
      <c r="K230" s="2"/>
      <c r="L230" s="2"/>
      <c r="M230" s="2"/>
      <c r="N230" s="2"/>
      <c r="O230" s="2"/>
      <c r="P230" s="2"/>
      <c r="Q230" s="2"/>
      <c r="R230" s="2"/>
      <c r="S230" s="2"/>
      <c r="T230" s="2"/>
      <c r="U230" s="2"/>
      <c r="V230" s="2"/>
      <c r="W230" s="2"/>
      <c r="X230" s="2"/>
      <c r="Y230" s="2"/>
      <c r="Z230" s="2"/>
      <c r="AA230" s="2"/>
      <c r="AB230" s="2"/>
    </row>
    <row r="231" spans="1:28" ht="13">
      <c r="A231" s="2"/>
      <c r="B231" s="2"/>
      <c r="C231" s="2"/>
      <c r="D231" s="2"/>
      <c r="E231" s="2"/>
      <c r="F231" s="2"/>
      <c r="G231" s="43"/>
      <c r="H231" s="2"/>
      <c r="I231" s="2"/>
      <c r="J231" s="2"/>
      <c r="K231" s="2"/>
      <c r="L231" s="2"/>
      <c r="M231" s="2"/>
      <c r="N231" s="2"/>
      <c r="O231" s="2"/>
      <c r="P231" s="2"/>
      <c r="Q231" s="2"/>
      <c r="R231" s="2"/>
      <c r="S231" s="2"/>
      <c r="T231" s="2"/>
      <c r="U231" s="2"/>
      <c r="V231" s="2"/>
      <c r="W231" s="2"/>
      <c r="X231" s="2"/>
      <c r="Y231" s="2"/>
      <c r="Z231" s="2"/>
      <c r="AA231" s="2"/>
      <c r="AB231" s="2"/>
    </row>
    <row r="232" spans="1:28" ht="13">
      <c r="A232" s="2"/>
      <c r="B232" s="2"/>
      <c r="C232" s="2"/>
      <c r="D232" s="2"/>
      <c r="E232" s="2"/>
      <c r="F232" s="2"/>
      <c r="G232" s="43"/>
      <c r="H232" s="2"/>
      <c r="I232" s="2"/>
      <c r="J232" s="2"/>
      <c r="K232" s="2"/>
      <c r="L232" s="2"/>
      <c r="M232" s="2"/>
      <c r="N232" s="2"/>
      <c r="O232" s="2"/>
      <c r="P232" s="2"/>
      <c r="Q232" s="2"/>
      <c r="R232" s="2"/>
      <c r="S232" s="2"/>
      <c r="T232" s="2"/>
      <c r="U232" s="2"/>
      <c r="V232" s="2"/>
      <c r="W232" s="2"/>
      <c r="X232" s="2"/>
      <c r="Y232" s="2"/>
      <c r="Z232" s="2"/>
      <c r="AA232" s="2"/>
      <c r="AB232" s="2"/>
    </row>
    <row r="233" spans="1:28" ht="13">
      <c r="A233" s="2"/>
      <c r="B233" s="2"/>
      <c r="C233" s="2"/>
      <c r="D233" s="2"/>
      <c r="E233" s="2"/>
      <c r="F233" s="2"/>
      <c r="G233" s="43"/>
      <c r="H233" s="2"/>
      <c r="I233" s="2"/>
      <c r="J233" s="2"/>
      <c r="K233" s="2"/>
      <c r="L233" s="2"/>
      <c r="M233" s="2"/>
      <c r="N233" s="2"/>
      <c r="O233" s="2"/>
      <c r="P233" s="2"/>
      <c r="Q233" s="2"/>
      <c r="R233" s="2"/>
      <c r="S233" s="2"/>
      <c r="T233" s="2"/>
      <c r="U233" s="2"/>
      <c r="V233" s="2"/>
      <c r="W233" s="2"/>
      <c r="X233" s="2"/>
      <c r="Y233" s="2"/>
      <c r="Z233" s="2"/>
      <c r="AA233" s="2"/>
      <c r="AB233" s="2"/>
    </row>
    <row r="234" spans="1:28" ht="13">
      <c r="A234" s="2"/>
      <c r="B234" s="2"/>
      <c r="C234" s="2"/>
      <c r="D234" s="2"/>
      <c r="E234" s="2"/>
      <c r="F234" s="2"/>
      <c r="G234" s="43"/>
      <c r="H234" s="2"/>
      <c r="I234" s="2"/>
      <c r="J234" s="2"/>
      <c r="K234" s="2"/>
      <c r="L234" s="2"/>
      <c r="M234" s="2"/>
      <c r="N234" s="2"/>
      <c r="O234" s="2"/>
      <c r="P234" s="2"/>
      <c r="Q234" s="2"/>
      <c r="R234" s="2"/>
      <c r="S234" s="2"/>
      <c r="T234" s="2"/>
      <c r="U234" s="2"/>
      <c r="V234" s="2"/>
      <c r="W234" s="2"/>
      <c r="X234" s="2"/>
      <c r="Y234" s="2"/>
      <c r="Z234" s="2"/>
      <c r="AA234" s="2"/>
      <c r="AB234" s="2"/>
    </row>
    <row r="235" spans="1:28" ht="13">
      <c r="A235" s="2"/>
      <c r="B235" s="2"/>
      <c r="C235" s="2"/>
      <c r="D235" s="2"/>
      <c r="E235" s="2"/>
      <c r="F235" s="2"/>
      <c r="G235" s="43"/>
      <c r="H235" s="2"/>
      <c r="I235" s="2"/>
      <c r="J235" s="2"/>
      <c r="K235" s="2"/>
      <c r="L235" s="2"/>
      <c r="M235" s="2"/>
      <c r="N235" s="2"/>
      <c r="O235" s="2"/>
      <c r="P235" s="2"/>
      <c r="Q235" s="2"/>
      <c r="R235" s="2"/>
      <c r="S235" s="2"/>
      <c r="T235" s="2"/>
      <c r="U235" s="2"/>
      <c r="V235" s="2"/>
      <c r="W235" s="2"/>
      <c r="X235" s="2"/>
      <c r="Y235" s="2"/>
      <c r="Z235" s="2"/>
      <c r="AA235" s="2"/>
      <c r="AB235" s="2"/>
    </row>
    <row r="236" spans="1:28" ht="13">
      <c r="A236" s="2"/>
      <c r="B236" s="2"/>
      <c r="C236" s="2"/>
      <c r="D236" s="2"/>
      <c r="E236" s="2"/>
      <c r="F236" s="2"/>
      <c r="G236" s="43"/>
      <c r="H236" s="2"/>
      <c r="I236" s="2"/>
      <c r="J236" s="2"/>
      <c r="K236" s="2"/>
      <c r="L236" s="2"/>
      <c r="M236" s="2"/>
      <c r="N236" s="2"/>
      <c r="O236" s="2"/>
      <c r="P236" s="2"/>
      <c r="Q236" s="2"/>
      <c r="R236" s="2"/>
      <c r="S236" s="2"/>
      <c r="T236" s="2"/>
      <c r="U236" s="2"/>
      <c r="V236" s="2"/>
      <c r="W236" s="2"/>
      <c r="X236" s="2"/>
      <c r="Y236" s="2"/>
      <c r="Z236" s="2"/>
      <c r="AA236" s="2"/>
      <c r="AB236" s="2"/>
    </row>
    <row r="237" spans="1:28" ht="13">
      <c r="A237" s="2"/>
      <c r="B237" s="2"/>
      <c r="C237" s="2"/>
      <c r="D237" s="2"/>
      <c r="E237" s="2"/>
      <c r="F237" s="2"/>
      <c r="G237" s="43"/>
      <c r="H237" s="2"/>
      <c r="I237" s="2"/>
      <c r="J237" s="2"/>
      <c r="K237" s="2"/>
      <c r="L237" s="2"/>
      <c r="M237" s="2"/>
      <c r="N237" s="2"/>
      <c r="O237" s="2"/>
      <c r="P237" s="2"/>
      <c r="Q237" s="2"/>
      <c r="R237" s="2"/>
      <c r="S237" s="2"/>
      <c r="T237" s="2"/>
      <c r="U237" s="2"/>
      <c r="V237" s="2"/>
      <c r="W237" s="2"/>
      <c r="X237" s="2"/>
      <c r="Y237" s="2"/>
      <c r="Z237" s="2"/>
      <c r="AA237" s="2"/>
      <c r="AB237" s="2"/>
    </row>
    <row r="238" spans="1:28" ht="13">
      <c r="A238" s="2"/>
      <c r="B238" s="2"/>
      <c r="C238" s="2"/>
      <c r="D238" s="2"/>
      <c r="E238" s="2"/>
      <c r="F238" s="2"/>
      <c r="G238" s="43"/>
      <c r="H238" s="2"/>
      <c r="I238" s="2"/>
      <c r="J238" s="2"/>
      <c r="K238" s="2"/>
      <c r="L238" s="2"/>
      <c r="M238" s="2"/>
      <c r="N238" s="2"/>
      <c r="O238" s="2"/>
      <c r="P238" s="2"/>
      <c r="Q238" s="2"/>
      <c r="R238" s="2"/>
      <c r="S238" s="2"/>
      <c r="T238" s="2"/>
      <c r="U238" s="2"/>
      <c r="V238" s="2"/>
      <c r="W238" s="2"/>
      <c r="X238" s="2"/>
      <c r="Y238" s="2"/>
      <c r="Z238" s="2"/>
      <c r="AA238" s="2"/>
      <c r="AB238" s="2"/>
    </row>
    <row r="239" spans="1:28" ht="13">
      <c r="A239" s="2"/>
      <c r="B239" s="2"/>
      <c r="C239" s="2"/>
      <c r="D239" s="2"/>
      <c r="E239" s="2"/>
      <c r="F239" s="2"/>
      <c r="G239" s="43"/>
      <c r="H239" s="2"/>
      <c r="I239" s="2"/>
      <c r="J239" s="2"/>
      <c r="K239" s="2"/>
      <c r="L239" s="2"/>
      <c r="M239" s="2"/>
      <c r="N239" s="2"/>
      <c r="O239" s="2"/>
      <c r="P239" s="2"/>
      <c r="Q239" s="2"/>
      <c r="R239" s="2"/>
      <c r="S239" s="2"/>
      <c r="T239" s="2"/>
      <c r="U239" s="2"/>
      <c r="V239" s="2"/>
      <c r="W239" s="2"/>
      <c r="X239" s="2"/>
      <c r="Y239" s="2"/>
      <c r="Z239" s="2"/>
      <c r="AA239" s="2"/>
      <c r="AB239" s="2"/>
    </row>
    <row r="240" spans="1:28" ht="13">
      <c r="A240" s="2"/>
      <c r="B240" s="2"/>
      <c r="C240" s="2"/>
      <c r="D240" s="2"/>
      <c r="E240" s="2"/>
      <c r="F240" s="2"/>
      <c r="G240" s="43"/>
      <c r="H240" s="2"/>
      <c r="I240" s="2"/>
      <c r="J240" s="2"/>
      <c r="K240" s="2"/>
      <c r="L240" s="2"/>
      <c r="M240" s="2"/>
      <c r="N240" s="2"/>
      <c r="O240" s="2"/>
      <c r="P240" s="2"/>
      <c r="Q240" s="2"/>
      <c r="R240" s="2"/>
      <c r="S240" s="2"/>
      <c r="T240" s="2"/>
      <c r="U240" s="2"/>
      <c r="V240" s="2"/>
      <c r="W240" s="2"/>
      <c r="X240" s="2"/>
      <c r="Y240" s="2"/>
      <c r="Z240" s="2"/>
      <c r="AA240" s="2"/>
      <c r="AB240" s="2"/>
    </row>
    <row r="241" spans="1:28" ht="13">
      <c r="A241" s="2"/>
      <c r="B241" s="2"/>
      <c r="C241" s="2"/>
      <c r="D241" s="2"/>
      <c r="E241" s="2"/>
      <c r="F241" s="2"/>
      <c r="G241" s="43"/>
      <c r="H241" s="2"/>
      <c r="I241" s="2"/>
      <c r="J241" s="2"/>
      <c r="K241" s="2"/>
      <c r="L241" s="2"/>
      <c r="M241" s="2"/>
      <c r="N241" s="2"/>
      <c r="O241" s="2"/>
      <c r="P241" s="2"/>
      <c r="Q241" s="2"/>
      <c r="R241" s="2"/>
      <c r="S241" s="2"/>
      <c r="T241" s="2"/>
      <c r="U241" s="2"/>
      <c r="V241" s="2"/>
      <c r="W241" s="2"/>
      <c r="X241" s="2"/>
      <c r="Y241" s="2"/>
      <c r="Z241" s="2"/>
      <c r="AA241" s="2"/>
      <c r="AB241" s="2"/>
    </row>
    <row r="242" spans="1:28" ht="13">
      <c r="A242" s="2"/>
      <c r="B242" s="2"/>
      <c r="C242" s="2"/>
      <c r="D242" s="2"/>
      <c r="E242" s="2"/>
      <c r="F242" s="2"/>
      <c r="G242" s="43"/>
      <c r="H242" s="2"/>
      <c r="I242" s="2"/>
      <c r="J242" s="2"/>
      <c r="K242" s="2"/>
      <c r="L242" s="2"/>
      <c r="M242" s="2"/>
      <c r="N242" s="2"/>
      <c r="O242" s="2"/>
      <c r="P242" s="2"/>
      <c r="Q242" s="2"/>
      <c r="R242" s="2"/>
      <c r="S242" s="2"/>
      <c r="T242" s="2"/>
      <c r="U242" s="2"/>
      <c r="V242" s="2"/>
      <c r="W242" s="2"/>
      <c r="X242" s="2"/>
      <c r="Y242" s="2"/>
      <c r="Z242" s="2"/>
      <c r="AA242" s="2"/>
      <c r="AB242" s="2"/>
    </row>
    <row r="243" spans="1:28" ht="13">
      <c r="A243" s="2"/>
      <c r="B243" s="2"/>
      <c r="C243" s="2"/>
      <c r="D243" s="2"/>
      <c r="E243" s="2"/>
      <c r="F243" s="2"/>
      <c r="G243" s="43"/>
      <c r="H243" s="2"/>
      <c r="I243" s="2"/>
      <c r="J243" s="2"/>
      <c r="K243" s="2"/>
      <c r="L243" s="2"/>
      <c r="M243" s="2"/>
      <c r="N243" s="2"/>
      <c r="O243" s="2"/>
      <c r="P243" s="2"/>
      <c r="Q243" s="2"/>
      <c r="R243" s="2"/>
      <c r="S243" s="2"/>
      <c r="T243" s="2"/>
      <c r="U243" s="2"/>
      <c r="V243" s="2"/>
      <c r="W243" s="2"/>
      <c r="X243" s="2"/>
      <c r="Y243" s="2"/>
      <c r="Z243" s="2"/>
      <c r="AA243" s="2"/>
      <c r="AB243" s="2"/>
    </row>
    <row r="244" spans="1:28" ht="13">
      <c r="A244" s="2"/>
      <c r="B244" s="2"/>
      <c r="C244" s="2"/>
      <c r="D244" s="2"/>
      <c r="E244" s="2"/>
      <c r="F244" s="2"/>
      <c r="G244" s="43"/>
      <c r="H244" s="2"/>
      <c r="I244" s="2"/>
      <c r="J244" s="2"/>
      <c r="K244" s="2"/>
      <c r="L244" s="2"/>
      <c r="M244" s="2"/>
      <c r="N244" s="2"/>
      <c r="O244" s="2"/>
      <c r="P244" s="2"/>
      <c r="Q244" s="2"/>
      <c r="R244" s="2"/>
      <c r="S244" s="2"/>
      <c r="T244" s="2"/>
      <c r="U244" s="2"/>
      <c r="V244" s="2"/>
      <c r="W244" s="2"/>
      <c r="X244" s="2"/>
      <c r="Y244" s="2"/>
      <c r="Z244" s="2"/>
      <c r="AA244" s="2"/>
      <c r="AB244" s="2"/>
    </row>
    <row r="245" spans="1:28" ht="13">
      <c r="A245" s="2"/>
      <c r="B245" s="2"/>
      <c r="C245" s="2"/>
      <c r="D245" s="2"/>
      <c r="E245" s="2"/>
      <c r="F245" s="2"/>
      <c r="G245" s="43"/>
      <c r="H245" s="2"/>
      <c r="I245" s="2"/>
      <c r="J245" s="2"/>
      <c r="K245" s="2"/>
      <c r="L245" s="2"/>
      <c r="M245" s="2"/>
      <c r="N245" s="2"/>
      <c r="O245" s="2"/>
      <c r="P245" s="2"/>
      <c r="Q245" s="2"/>
      <c r="R245" s="2"/>
      <c r="S245" s="2"/>
      <c r="T245" s="2"/>
      <c r="U245" s="2"/>
      <c r="V245" s="2"/>
      <c r="W245" s="2"/>
      <c r="X245" s="2"/>
      <c r="Y245" s="2"/>
      <c r="Z245" s="2"/>
      <c r="AA245" s="2"/>
      <c r="AB245" s="2"/>
    </row>
    <row r="246" spans="1:28" ht="13">
      <c r="A246" s="2"/>
      <c r="B246" s="2"/>
      <c r="C246" s="2"/>
      <c r="D246" s="2"/>
      <c r="E246" s="2"/>
      <c r="F246" s="2"/>
      <c r="G246" s="43"/>
      <c r="H246" s="2"/>
      <c r="I246" s="2"/>
      <c r="J246" s="2"/>
      <c r="K246" s="2"/>
      <c r="L246" s="2"/>
      <c r="M246" s="2"/>
      <c r="N246" s="2"/>
      <c r="O246" s="2"/>
      <c r="P246" s="2"/>
      <c r="Q246" s="2"/>
      <c r="R246" s="2"/>
      <c r="S246" s="2"/>
      <c r="T246" s="2"/>
      <c r="U246" s="2"/>
      <c r="V246" s="2"/>
      <c r="W246" s="2"/>
      <c r="X246" s="2"/>
      <c r="Y246" s="2"/>
      <c r="Z246" s="2"/>
      <c r="AA246" s="2"/>
      <c r="AB246" s="2"/>
    </row>
    <row r="247" spans="1:28" ht="13">
      <c r="A247" s="2"/>
      <c r="B247" s="2"/>
      <c r="C247" s="2"/>
      <c r="D247" s="2"/>
      <c r="E247" s="2"/>
      <c r="F247" s="2"/>
      <c r="G247" s="43"/>
      <c r="H247" s="2"/>
      <c r="I247" s="2"/>
      <c r="J247" s="2"/>
      <c r="K247" s="2"/>
      <c r="L247" s="2"/>
      <c r="M247" s="2"/>
      <c r="N247" s="2"/>
      <c r="O247" s="2"/>
      <c r="P247" s="2"/>
      <c r="Q247" s="2"/>
      <c r="R247" s="2"/>
      <c r="S247" s="2"/>
      <c r="T247" s="2"/>
      <c r="U247" s="2"/>
      <c r="V247" s="2"/>
      <c r="W247" s="2"/>
      <c r="X247" s="2"/>
      <c r="Y247" s="2"/>
      <c r="Z247" s="2"/>
      <c r="AA247" s="2"/>
      <c r="AB247" s="2"/>
    </row>
    <row r="248" spans="1:28" ht="13">
      <c r="A248" s="2"/>
      <c r="B248" s="2"/>
      <c r="C248" s="2"/>
      <c r="D248" s="2"/>
      <c r="E248" s="2"/>
      <c r="F248" s="2"/>
      <c r="G248" s="43"/>
      <c r="H248" s="2"/>
      <c r="I248" s="2"/>
      <c r="J248" s="2"/>
      <c r="K248" s="2"/>
      <c r="L248" s="2"/>
      <c r="M248" s="2"/>
      <c r="N248" s="2"/>
      <c r="O248" s="2"/>
      <c r="P248" s="2"/>
      <c r="Q248" s="2"/>
      <c r="R248" s="2"/>
      <c r="S248" s="2"/>
      <c r="T248" s="2"/>
      <c r="U248" s="2"/>
      <c r="V248" s="2"/>
      <c r="W248" s="2"/>
      <c r="X248" s="2"/>
      <c r="Y248" s="2"/>
      <c r="Z248" s="2"/>
      <c r="AA248" s="2"/>
      <c r="AB248" s="2"/>
    </row>
    <row r="249" spans="1:28" ht="13">
      <c r="A249" s="2"/>
      <c r="B249" s="2"/>
      <c r="C249" s="2"/>
      <c r="D249" s="2"/>
      <c r="E249" s="2"/>
      <c r="F249" s="2"/>
      <c r="G249" s="43"/>
      <c r="H249" s="2"/>
      <c r="I249" s="2"/>
      <c r="J249" s="2"/>
      <c r="K249" s="2"/>
      <c r="L249" s="2"/>
      <c r="M249" s="2"/>
      <c r="N249" s="2"/>
      <c r="O249" s="2"/>
      <c r="P249" s="2"/>
      <c r="Q249" s="2"/>
      <c r="R249" s="2"/>
      <c r="S249" s="2"/>
      <c r="T249" s="2"/>
      <c r="U249" s="2"/>
      <c r="V249" s="2"/>
      <c r="W249" s="2"/>
      <c r="X249" s="2"/>
      <c r="Y249" s="2"/>
      <c r="Z249" s="2"/>
      <c r="AA249" s="2"/>
      <c r="AB249" s="2"/>
    </row>
    <row r="250" spans="1:28" ht="13">
      <c r="A250" s="2"/>
      <c r="B250" s="2"/>
      <c r="C250" s="2"/>
      <c r="D250" s="2"/>
      <c r="E250" s="2"/>
      <c r="F250" s="2"/>
      <c r="G250" s="43"/>
      <c r="H250" s="2"/>
      <c r="I250" s="2"/>
      <c r="J250" s="2"/>
      <c r="K250" s="2"/>
      <c r="L250" s="2"/>
      <c r="M250" s="2"/>
      <c r="N250" s="2"/>
      <c r="O250" s="2"/>
      <c r="P250" s="2"/>
      <c r="Q250" s="2"/>
      <c r="R250" s="2"/>
      <c r="S250" s="2"/>
      <c r="T250" s="2"/>
      <c r="U250" s="2"/>
      <c r="V250" s="2"/>
      <c r="W250" s="2"/>
      <c r="X250" s="2"/>
      <c r="Y250" s="2"/>
      <c r="Z250" s="2"/>
      <c r="AA250" s="2"/>
      <c r="AB250" s="2"/>
    </row>
    <row r="251" spans="1:28" ht="13">
      <c r="A251" s="2"/>
      <c r="B251" s="2"/>
      <c r="C251" s="2"/>
      <c r="D251" s="2"/>
      <c r="E251" s="2"/>
      <c r="F251" s="2"/>
      <c r="G251" s="43"/>
      <c r="H251" s="2"/>
      <c r="I251" s="2"/>
      <c r="J251" s="2"/>
      <c r="K251" s="2"/>
      <c r="L251" s="2"/>
      <c r="M251" s="2"/>
      <c r="N251" s="2"/>
      <c r="O251" s="2"/>
      <c r="P251" s="2"/>
      <c r="Q251" s="2"/>
      <c r="R251" s="2"/>
      <c r="S251" s="2"/>
      <c r="T251" s="2"/>
      <c r="U251" s="2"/>
      <c r="V251" s="2"/>
      <c r="W251" s="2"/>
      <c r="X251" s="2"/>
      <c r="Y251" s="2"/>
      <c r="Z251" s="2"/>
      <c r="AA251" s="2"/>
      <c r="AB251" s="2"/>
    </row>
    <row r="252" spans="1:28" ht="13">
      <c r="A252" s="2"/>
      <c r="B252" s="2"/>
      <c r="C252" s="2"/>
      <c r="D252" s="2"/>
      <c r="E252" s="2"/>
      <c r="F252" s="2"/>
      <c r="G252" s="43"/>
      <c r="H252" s="2"/>
      <c r="I252" s="2"/>
      <c r="J252" s="2"/>
      <c r="K252" s="2"/>
      <c r="L252" s="2"/>
      <c r="M252" s="2"/>
      <c r="N252" s="2"/>
      <c r="O252" s="2"/>
      <c r="P252" s="2"/>
      <c r="Q252" s="2"/>
      <c r="R252" s="2"/>
      <c r="S252" s="2"/>
      <c r="T252" s="2"/>
      <c r="U252" s="2"/>
      <c r="V252" s="2"/>
      <c r="W252" s="2"/>
      <c r="X252" s="2"/>
      <c r="Y252" s="2"/>
      <c r="Z252" s="2"/>
      <c r="AA252" s="2"/>
      <c r="AB252" s="2"/>
    </row>
    <row r="253" spans="1:28" ht="13">
      <c r="A253" s="2"/>
      <c r="B253" s="2"/>
      <c r="C253" s="2"/>
      <c r="D253" s="2"/>
      <c r="E253" s="2"/>
      <c r="F253" s="2"/>
      <c r="G253" s="43"/>
      <c r="H253" s="2"/>
      <c r="I253" s="2"/>
      <c r="J253" s="2"/>
      <c r="K253" s="2"/>
      <c r="L253" s="2"/>
      <c r="M253" s="2"/>
      <c r="N253" s="2"/>
      <c r="O253" s="2"/>
      <c r="P253" s="2"/>
      <c r="Q253" s="2"/>
      <c r="R253" s="2"/>
      <c r="S253" s="2"/>
      <c r="T253" s="2"/>
      <c r="U253" s="2"/>
      <c r="V253" s="2"/>
      <c r="W253" s="2"/>
      <c r="X253" s="2"/>
      <c r="Y253" s="2"/>
      <c r="Z253" s="2"/>
      <c r="AA253" s="2"/>
      <c r="AB253" s="2"/>
    </row>
    <row r="254" spans="1:28" ht="13">
      <c r="A254" s="2"/>
      <c r="B254" s="2"/>
      <c r="C254" s="2"/>
      <c r="D254" s="2"/>
      <c r="E254" s="2"/>
      <c r="F254" s="2"/>
      <c r="G254" s="43"/>
      <c r="H254" s="2"/>
      <c r="I254" s="2"/>
      <c r="J254" s="2"/>
      <c r="K254" s="2"/>
      <c r="L254" s="2"/>
      <c r="M254" s="2"/>
      <c r="N254" s="2"/>
      <c r="O254" s="2"/>
      <c r="P254" s="2"/>
      <c r="Q254" s="2"/>
      <c r="R254" s="2"/>
      <c r="S254" s="2"/>
      <c r="T254" s="2"/>
      <c r="U254" s="2"/>
      <c r="V254" s="2"/>
      <c r="W254" s="2"/>
      <c r="X254" s="2"/>
      <c r="Y254" s="2"/>
      <c r="Z254" s="2"/>
      <c r="AA254" s="2"/>
      <c r="AB254" s="2"/>
    </row>
    <row r="255" spans="1:28" ht="13">
      <c r="A255" s="2"/>
      <c r="B255" s="2"/>
      <c r="C255" s="2"/>
      <c r="D255" s="2"/>
      <c r="E255" s="2"/>
      <c r="F255" s="2"/>
      <c r="G255" s="43"/>
      <c r="H255" s="2"/>
      <c r="I255" s="2"/>
      <c r="J255" s="2"/>
      <c r="K255" s="2"/>
      <c r="L255" s="2"/>
      <c r="M255" s="2"/>
      <c r="N255" s="2"/>
      <c r="O255" s="2"/>
      <c r="P255" s="2"/>
      <c r="Q255" s="2"/>
      <c r="R255" s="2"/>
      <c r="S255" s="2"/>
      <c r="T255" s="2"/>
      <c r="U255" s="2"/>
      <c r="V255" s="2"/>
      <c r="W255" s="2"/>
      <c r="X255" s="2"/>
      <c r="Y255" s="2"/>
      <c r="Z255" s="2"/>
      <c r="AA255" s="2"/>
      <c r="AB255" s="2"/>
    </row>
    <row r="256" spans="1:28" ht="13">
      <c r="A256" s="2"/>
      <c r="B256" s="2"/>
      <c r="C256" s="2"/>
      <c r="D256" s="2"/>
      <c r="E256" s="2"/>
      <c r="F256" s="2"/>
      <c r="G256" s="43"/>
      <c r="H256" s="2"/>
      <c r="I256" s="2"/>
      <c r="J256" s="2"/>
      <c r="K256" s="2"/>
      <c r="L256" s="2"/>
      <c r="M256" s="2"/>
      <c r="N256" s="2"/>
      <c r="O256" s="2"/>
      <c r="P256" s="2"/>
      <c r="Q256" s="2"/>
      <c r="R256" s="2"/>
      <c r="S256" s="2"/>
      <c r="T256" s="2"/>
      <c r="U256" s="2"/>
      <c r="V256" s="2"/>
      <c r="W256" s="2"/>
      <c r="X256" s="2"/>
      <c r="Y256" s="2"/>
      <c r="Z256" s="2"/>
      <c r="AA256" s="2"/>
      <c r="AB256" s="2"/>
    </row>
    <row r="257" spans="1:28" ht="13">
      <c r="A257" s="2"/>
      <c r="B257" s="2"/>
      <c r="C257" s="2"/>
      <c r="D257" s="2"/>
      <c r="E257" s="2"/>
      <c r="F257" s="2"/>
      <c r="G257" s="43"/>
      <c r="H257" s="2"/>
      <c r="I257" s="2"/>
      <c r="J257" s="2"/>
      <c r="K257" s="2"/>
      <c r="L257" s="2"/>
      <c r="M257" s="2"/>
      <c r="N257" s="2"/>
      <c r="O257" s="2"/>
      <c r="P257" s="2"/>
      <c r="Q257" s="2"/>
      <c r="R257" s="2"/>
      <c r="S257" s="2"/>
      <c r="T257" s="2"/>
      <c r="U257" s="2"/>
      <c r="V257" s="2"/>
      <c r="W257" s="2"/>
      <c r="X257" s="2"/>
      <c r="Y257" s="2"/>
      <c r="Z257" s="2"/>
      <c r="AA257" s="2"/>
      <c r="AB257" s="2"/>
    </row>
    <row r="258" spans="1:28" ht="13">
      <c r="A258" s="2"/>
      <c r="B258" s="2"/>
      <c r="C258" s="2"/>
      <c r="D258" s="2"/>
      <c r="E258" s="2"/>
      <c r="F258" s="2"/>
      <c r="G258" s="43"/>
      <c r="H258" s="2"/>
      <c r="I258" s="2"/>
      <c r="J258" s="2"/>
      <c r="K258" s="2"/>
      <c r="L258" s="2"/>
      <c r="M258" s="2"/>
      <c r="N258" s="2"/>
      <c r="O258" s="2"/>
      <c r="P258" s="2"/>
      <c r="Q258" s="2"/>
      <c r="R258" s="2"/>
      <c r="S258" s="2"/>
      <c r="T258" s="2"/>
      <c r="U258" s="2"/>
      <c r="V258" s="2"/>
      <c r="W258" s="2"/>
      <c r="X258" s="2"/>
      <c r="Y258" s="2"/>
      <c r="Z258" s="2"/>
      <c r="AA258" s="2"/>
      <c r="AB258" s="2"/>
    </row>
    <row r="259" spans="1:28" ht="13">
      <c r="A259" s="2"/>
      <c r="B259" s="2"/>
      <c r="C259" s="2"/>
      <c r="D259" s="2"/>
      <c r="E259" s="2"/>
      <c r="F259" s="2"/>
      <c r="G259" s="43"/>
      <c r="H259" s="2"/>
      <c r="I259" s="2"/>
      <c r="J259" s="2"/>
      <c r="K259" s="2"/>
      <c r="L259" s="2"/>
      <c r="M259" s="2"/>
      <c r="N259" s="2"/>
      <c r="O259" s="2"/>
      <c r="P259" s="2"/>
      <c r="Q259" s="2"/>
      <c r="R259" s="2"/>
      <c r="S259" s="2"/>
      <c r="T259" s="2"/>
      <c r="U259" s="2"/>
      <c r="V259" s="2"/>
      <c r="W259" s="2"/>
      <c r="X259" s="2"/>
      <c r="Y259" s="2"/>
      <c r="Z259" s="2"/>
      <c r="AA259" s="2"/>
      <c r="AB259" s="2"/>
    </row>
    <row r="260" spans="1:28" ht="13">
      <c r="A260" s="2"/>
      <c r="B260" s="2"/>
      <c r="C260" s="2"/>
      <c r="D260" s="2"/>
      <c r="E260" s="2"/>
      <c r="F260" s="2"/>
      <c r="G260" s="43"/>
      <c r="H260" s="2"/>
      <c r="I260" s="2"/>
      <c r="J260" s="2"/>
      <c r="K260" s="2"/>
      <c r="L260" s="2"/>
      <c r="M260" s="2"/>
      <c r="N260" s="2"/>
      <c r="O260" s="2"/>
      <c r="P260" s="2"/>
      <c r="Q260" s="2"/>
      <c r="R260" s="2"/>
      <c r="S260" s="2"/>
      <c r="T260" s="2"/>
      <c r="U260" s="2"/>
      <c r="V260" s="2"/>
      <c r="W260" s="2"/>
      <c r="X260" s="2"/>
      <c r="Y260" s="2"/>
      <c r="Z260" s="2"/>
      <c r="AA260" s="2"/>
      <c r="AB260" s="2"/>
    </row>
    <row r="261" spans="1:28" ht="13">
      <c r="A261" s="2"/>
      <c r="B261" s="2"/>
      <c r="C261" s="2"/>
      <c r="D261" s="2"/>
      <c r="E261" s="2"/>
      <c r="F261" s="2"/>
      <c r="G261" s="43"/>
      <c r="H261" s="2"/>
      <c r="I261" s="2"/>
      <c r="J261" s="2"/>
      <c r="K261" s="2"/>
      <c r="L261" s="2"/>
      <c r="M261" s="2"/>
      <c r="N261" s="2"/>
      <c r="O261" s="2"/>
      <c r="P261" s="2"/>
      <c r="Q261" s="2"/>
      <c r="R261" s="2"/>
      <c r="S261" s="2"/>
      <c r="T261" s="2"/>
      <c r="U261" s="2"/>
      <c r="V261" s="2"/>
      <c r="W261" s="2"/>
      <c r="X261" s="2"/>
      <c r="Y261" s="2"/>
      <c r="Z261" s="2"/>
      <c r="AA261" s="2"/>
      <c r="AB261" s="2"/>
    </row>
    <row r="262" spans="1:28" ht="13">
      <c r="A262" s="2"/>
      <c r="B262" s="2"/>
      <c r="C262" s="2"/>
      <c r="D262" s="2"/>
      <c r="E262" s="2"/>
      <c r="F262" s="2"/>
      <c r="G262" s="43"/>
      <c r="H262" s="2"/>
      <c r="I262" s="2"/>
      <c r="J262" s="2"/>
      <c r="K262" s="2"/>
      <c r="L262" s="2"/>
      <c r="M262" s="2"/>
      <c r="N262" s="2"/>
      <c r="O262" s="2"/>
      <c r="P262" s="2"/>
      <c r="Q262" s="2"/>
      <c r="R262" s="2"/>
      <c r="S262" s="2"/>
      <c r="T262" s="2"/>
      <c r="U262" s="2"/>
      <c r="V262" s="2"/>
      <c r="W262" s="2"/>
      <c r="X262" s="2"/>
      <c r="Y262" s="2"/>
      <c r="Z262" s="2"/>
      <c r="AA262" s="2"/>
      <c r="AB262" s="2"/>
    </row>
    <row r="263" spans="1:28" ht="13">
      <c r="A263" s="2"/>
      <c r="B263" s="2"/>
      <c r="C263" s="2"/>
      <c r="D263" s="2"/>
      <c r="E263" s="2"/>
      <c r="F263" s="2"/>
      <c r="G263" s="43"/>
      <c r="H263" s="2"/>
      <c r="I263" s="2"/>
      <c r="J263" s="2"/>
      <c r="K263" s="2"/>
      <c r="L263" s="2"/>
      <c r="M263" s="2"/>
      <c r="N263" s="2"/>
      <c r="O263" s="2"/>
      <c r="P263" s="2"/>
      <c r="Q263" s="2"/>
      <c r="R263" s="2"/>
      <c r="S263" s="2"/>
      <c r="T263" s="2"/>
      <c r="U263" s="2"/>
      <c r="V263" s="2"/>
      <c r="W263" s="2"/>
      <c r="X263" s="2"/>
      <c r="Y263" s="2"/>
      <c r="Z263" s="2"/>
      <c r="AA263" s="2"/>
      <c r="AB263" s="2"/>
    </row>
    <row r="264" spans="1:28" ht="13">
      <c r="A264" s="2"/>
      <c r="B264" s="2"/>
      <c r="C264" s="2"/>
      <c r="D264" s="2"/>
      <c r="E264" s="2"/>
      <c r="F264" s="2"/>
      <c r="G264" s="43"/>
      <c r="H264" s="2"/>
      <c r="I264" s="2"/>
      <c r="J264" s="2"/>
      <c r="K264" s="2"/>
      <c r="L264" s="2"/>
      <c r="M264" s="2"/>
      <c r="N264" s="2"/>
      <c r="O264" s="2"/>
      <c r="P264" s="2"/>
      <c r="Q264" s="2"/>
      <c r="R264" s="2"/>
      <c r="S264" s="2"/>
      <c r="T264" s="2"/>
      <c r="U264" s="2"/>
      <c r="V264" s="2"/>
      <c r="W264" s="2"/>
      <c r="X264" s="2"/>
      <c r="Y264" s="2"/>
      <c r="Z264" s="2"/>
      <c r="AA264" s="2"/>
      <c r="AB264" s="2"/>
    </row>
    <row r="265" spans="1:28" ht="13">
      <c r="A265" s="2"/>
      <c r="B265" s="2"/>
      <c r="C265" s="2"/>
      <c r="D265" s="2"/>
      <c r="E265" s="2"/>
      <c r="F265" s="2"/>
      <c r="G265" s="43"/>
      <c r="H265" s="2"/>
      <c r="I265" s="2"/>
      <c r="J265" s="2"/>
      <c r="K265" s="2"/>
      <c r="L265" s="2"/>
      <c r="M265" s="2"/>
      <c r="N265" s="2"/>
      <c r="O265" s="2"/>
      <c r="P265" s="2"/>
      <c r="Q265" s="2"/>
      <c r="R265" s="2"/>
      <c r="S265" s="2"/>
      <c r="T265" s="2"/>
      <c r="U265" s="2"/>
      <c r="V265" s="2"/>
      <c r="W265" s="2"/>
      <c r="X265" s="2"/>
      <c r="Y265" s="2"/>
      <c r="Z265" s="2"/>
      <c r="AA265" s="2"/>
      <c r="AB265" s="2"/>
    </row>
    <row r="266" spans="1:28" ht="13">
      <c r="A266" s="2"/>
      <c r="B266" s="2"/>
      <c r="C266" s="2"/>
      <c r="D266" s="2"/>
      <c r="E266" s="2"/>
      <c r="F266" s="2"/>
      <c r="G266" s="43"/>
      <c r="H266" s="2"/>
      <c r="I266" s="2"/>
      <c r="J266" s="2"/>
      <c r="K266" s="2"/>
      <c r="L266" s="2"/>
      <c r="M266" s="2"/>
      <c r="N266" s="2"/>
      <c r="O266" s="2"/>
      <c r="P266" s="2"/>
      <c r="Q266" s="2"/>
      <c r="R266" s="2"/>
      <c r="S266" s="2"/>
      <c r="T266" s="2"/>
      <c r="U266" s="2"/>
      <c r="V266" s="2"/>
      <c r="W266" s="2"/>
      <c r="X266" s="2"/>
      <c r="Y266" s="2"/>
      <c r="Z266" s="2"/>
      <c r="AA266" s="2"/>
      <c r="AB266" s="2"/>
    </row>
    <row r="267" spans="1:28" ht="13">
      <c r="A267" s="2"/>
      <c r="B267" s="2"/>
      <c r="C267" s="2"/>
      <c r="D267" s="2"/>
      <c r="E267" s="2"/>
      <c r="F267" s="2"/>
      <c r="G267" s="43"/>
      <c r="H267" s="2"/>
      <c r="I267" s="2"/>
      <c r="J267" s="2"/>
      <c r="K267" s="2"/>
      <c r="L267" s="2"/>
      <c r="M267" s="2"/>
      <c r="N267" s="2"/>
      <c r="O267" s="2"/>
      <c r="P267" s="2"/>
      <c r="Q267" s="2"/>
      <c r="R267" s="2"/>
      <c r="S267" s="2"/>
      <c r="T267" s="2"/>
      <c r="U267" s="2"/>
      <c r="V267" s="2"/>
      <c r="W267" s="2"/>
      <c r="X267" s="2"/>
      <c r="Y267" s="2"/>
      <c r="Z267" s="2"/>
      <c r="AA267" s="2"/>
      <c r="AB267" s="2"/>
    </row>
    <row r="268" spans="1:28" ht="13">
      <c r="A268" s="2"/>
      <c r="B268" s="2"/>
      <c r="C268" s="2"/>
      <c r="D268" s="2"/>
      <c r="E268" s="2"/>
      <c r="F268" s="2"/>
      <c r="G268" s="43"/>
      <c r="H268" s="2"/>
      <c r="I268" s="2"/>
      <c r="J268" s="2"/>
      <c r="K268" s="2"/>
      <c r="L268" s="2"/>
      <c r="M268" s="2"/>
      <c r="N268" s="2"/>
      <c r="O268" s="2"/>
      <c r="P268" s="2"/>
      <c r="Q268" s="2"/>
      <c r="R268" s="2"/>
      <c r="S268" s="2"/>
      <c r="T268" s="2"/>
      <c r="U268" s="2"/>
      <c r="V268" s="2"/>
      <c r="W268" s="2"/>
      <c r="X268" s="2"/>
      <c r="Y268" s="2"/>
      <c r="Z268" s="2"/>
      <c r="AA268" s="2"/>
      <c r="AB268" s="2"/>
    </row>
    <row r="269" spans="1:28" ht="13">
      <c r="A269" s="2"/>
      <c r="B269" s="2"/>
      <c r="C269" s="2"/>
      <c r="D269" s="2"/>
      <c r="E269" s="2"/>
      <c r="F269" s="2"/>
      <c r="G269" s="43"/>
      <c r="H269" s="2"/>
      <c r="I269" s="2"/>
      <c r="J269" s="2"/>
      <c r="K269" s="2"/>
      <c r="L269" s="2"/>
      <c r="M269" s="2"/>
      <c r="N269" s="2"/>
      <c r="O269" s="2"/>
      <c r="P269" s="2"/>
      <c r="Q269" s="2"/>
      <c r="R269" s="2"/>
      <c r="S269" s="2"/>
      <c r="T269" s="2"/>
      <c r="U269" s="2"/>
      <c r="V269" s="2"/>
      <c r="W269" s="2"/>
      <c r="X269" s="2"/>
      <c r="Y269" s="2"/>
      <c r="Z269" s="2"/>
      <c r="AA269" s="2"/>
      <c r="AB269" s="2"/>
    </row>
    <row r="270" spans="1:28" ht="13">
      <c r="A270" s="2"/>
      <c r="B270" s="2"/>
      <c r="C270" s="2"/>
      <c r="D270" s="2"/>
      <c r="E270" s="2"/>
      <c r="F270" s="2"/>
      <c r="G270" s="43"/>
      <c r="H270" s="2"/>
      <c r="I270" s="2"/>
      <c r="J270" s="2"/>
      <c r="K270" s="2"/>
      <c r="L270" s="2"/>
      <c r="M270" s="2"/>
      <c r="N270" s="2"/>
      <c r="O270" s="2"/>
      <c r="P270" s="2"/>
      <c r="Q270" s="2"/>
      <c r="R270" s="2"/>
      <c r="S270" s="2"/>
      <c r="T270" s="2"/>
      <c r="U270" s="2"/>
      <c r="V270" s="2"/>
      <c r="W270" s="2"/>
      <c r="X270" s="2"/>
      <c r="Y270" s="2"/>
      <c r="Z270" s="2"/>
      <c r="AA270" s="2"/>
      <c r="AB270" s="2"/>
    </row>
    <row r="271" spans="1:28" ht="13">
      <c r="A271" s="2"/>
      <c r="B271" s="2"/>
      <c r="C271" s="2"/>
      <c r="D271" s="2"/>
      <c r="E271" s="2"/>
      <c r="F271" s="2"/>
      <c r="G271" s="43"/>
      <c r="H271" s="2"/>
      <c r="I271" s="2"/>
      <c r="J271" s="2"/>
      <c r="K271" s="2"/>
      <c r="L271" s="2"/>
      <c r="M271" s="2"/>
      <c r="N271" s="2"/>
      <c r="O271" s="2"/>
      <c r="P271" s="2"/>
      <c r="Q271" s="2"/>
      <c r="R271" s="2"/>
      <c r="S271" s="2"/>
      <c r="T271" s="2"/>
      <c r="U271" s="2"/>
      <c r="V271" s="2"/>
      <c r="W271" s="2"/>
      <c r="X271" s="2"/>
      <c r="Y271" s="2"/>
      <c r="Z271" s="2"/>
      <c r="AA271" s="2"/>
      <c r="AB271" s="2"/>
    </row>
    <row r="272" spans="1:28" ht="13">
      <c r="A272" s="2"/>
      <c r="B272" s="2"/>
      <c r="C272" s="2"/>
      <c r="D272" s="2"/>
      <c r="E272" s="2"/>
      <c r="F272" s="2"/>
      <c r="G272" s="43"/>
      <c r="H272" s="2"/>
      <c r="I272" s="2"/>
      <c r="J272" s="2"/>
      <c r="K272" s="2"/>
      <c r="L272" s="2"/>
      <c r="M272" s="2"/>
      <c r="N272" s="2"/>
      <c r="O272" s="2"/>
      <c r="P272" s="2"/>
      <c r="Q272" s="2"/>
      <c r="R272" s="2"/>
      <c r="S272" s="2"/>
      <c r="T272" s="2"/>
      <c r="U272" s="2"/>
      <c r="V272" s="2"/>
      <c r="W272" s="2"/>
      <c r="X272" s="2"/>
      <c r="Y272" s="2"/>
      <c r="Z272" s="2"/>
      <c r="AA272" s="2"/>
      <c r="AB272" s="2"/>
    </row>
    <row r="273" spans="1:28" ht="13">
      <c r="A273" s="2"/>
      <c r="B273" s="2"/>
      <c r="C273" s="2"/>
      <c r="D273" s="2"/>
      <c r="E273" s="2"/>
      <c r="F273" s="2"/>
      <c r="G273" s="43"/>
      <c r="H273" s="2"/>
      <c r="I273" s="2"/>
      <c r="J273" s="2"/>
      <c r="K273" s="2"/>
      <c r="L273" s="2"/>
      <c r="M273" s="2"/>
      <c r="N273" s="2"/>
      <c r="O273" s="2"/>
      <c r="P273" s="2"/>
      <c r="Q273" s="2"/>
      <c r="R273" s="2"/>
      <c r="S273" s="2"/>
      <c r="T273" s="2"/>
      <c r="U273" s="2"/>
      <c r="V273" s="2"/>
      <c r="W273" s="2"/>
      <c r="X273" s="2"/>
      <c r="Y273" s="2"/>
      <c r="Z273" s="2"/>
      <c r="AA273" s="2"/>
      <c r="AB273" s="2"/>
    </row>
    <row r="274" spans="1:28" ht="13">
      <c r="A274" s="2"/>
      <c r="B274" s="2"/>
      <c r="C274" s="2"/>
      <c r="D274" s="2"/>
      <c r="E274" s="2"/>
      <c r="F274" s="2"/>
      <c r="G274" s="43"/>
      <c r="H274" s="2"/>
      <c r="I274" s="2"/>
      <c r="J274" s="2"/>
      <c r="K274" s="2"/>
      <c r="L274" s="2"/>
      <c r="M274" s="2"/>
      <c r="N274" s="2"/>
      <c r="O274" s="2"/>
      <c r="P274" s="2"/>
      <c r="Q274" s="2"/>
      <c r="R274" s="2"/>
      <c r="S274" s="2"/>
      <c r="T274" s="2"/>
      <c r="U274" s="2"/>
      <c r="V274" s="2"/>
      <c r="W274" s="2"/>
      <c r="X274" s="2"/>
      <c r="Y274" s="2"/>
      <c r="Z274" s="2"/>
      <c r="AA274" s="2"/>
      <c r="AB274" s="2"/>
    </row>
    <row r="275" spans="1:28" ht="13">
      <c r="A275" s="2"/>
      <c r="B275" s="2"/>
      <c r="C275" s="2"/>
      <c r="D275" s="2"/>
      <c r="E275" s="2"/>
      <c r="F275" s="2"/>
      <c r="G275" s="43"/>
      <c r="H275" s="2"/>
      <c r="I275" s="2"/>
      <c r="J275" s="2"/>
      <c r="K275" s="2"/>
      <c r="L275" s="2"/>
      <c r="M275" s="2"/>
      <c r="N275" s="2"/>
      <c r="O275" s="2"/>
      <c r="P275" s="2"/>
      <c r="Q275" s="2"/>
      <c r="R275" s="2"/>
      <c r="S275" s="2"/>
      <c r="T275" s="2"/>
      <c r="U275" s="2"/>
      <c r="V275" s="2"/>
      <c r="W275" s="2"/>
      <c r="X275" s="2"/>
      <c r="Y275" s="2"/>
      <c r="Z275" s="2"/>
      <c r="AA275" s="2"/>
      <c r="AB275" s="2"/>
    </row>
    <row r="276" spans="1:28" ht="13">
      <c r="A276" s="2"/>
      <c r="B276" s="2"/>
      <c r="C276" s="2"/>
      <c r="D276" s="2"/>
      <c r="E276" s="2"/>
      <c r="F276" s="2"/>
      <c r="G276" s="43"/>
      <c r="H276" s="2"/>
      <c r="I276" s="2"/>
      <c r="J276" s="2"/>
      <c r="K276" s="2"/>
      <c r="L276" s="2"/>
      <c r="M276" s="2"/>
      <c r="N276" s="2"/>
      <c r="O276" s="2"/>
      <c r="P276" s="2"/>
      <c r="Q276" s="2"/>
      <c r="R276" s="2"/>
      <c r="S276" s="2"/>
      <c r="T276" s="2"/>
      <c r="U276" s="2"/>
      <c r="V276" s="2"/>
      <c r="W276" s="2"/>
      <c r="X276" s="2"/>
      <c r="Y276" s="2"/>
      <c r="Z276" s="2"/>
      <c r="AA276" s="2"/>
      <c r="AB276" s="2"/>
    </row>
    <row r="277" spans="1:28" ht="13">
      <c r="A277" s="2"/>
      <c r="B277" s="2"/>
      <c r="C277" s="2"/>
      <c r="D277" s="2"/>
      <c r="E277" s="2"/>
      <c r="F277" s="2"/>
      <c r="G277" s="43"/>
      <c r="H277" s="2"/>
      <c r="I277" s="2"/>
      <c r="J277" s="2"/>
      <c r="K277" s="2"/>
      <c r="L277" s="2"/>
      <c r="M277" s="2"/>
      <c r="N277" s="2"/>
      <c r="O277" s="2"/>
      <c r="P277" s="2"/>
      <c r="Q277" s="2"/>
      <c r="R277" s="2"/>
      <c r="S277" s="2"/>
      <c r="T277" s="2"/>
      <c r="U277" s="2"/>
      <c r="V277" s="2"/>
      <c r="W277" s="2"/>
      <c r="X277" s="2"/>
      <c r="Y277" s="2"/>
      <c r="Z277" s="2"/>
      <c r="AA277" s="2"/>
      <c r="AB277" s="2"/>
    </row>
    <row r="278" spans="1:28" ht="13">
      <c r="A278" s="2"/>
      <c r="B278" s="2"/>
      <c r="C278" s="2"/>
      <c r="D278" s="2"/>
      <c r="E278" s="2"/>
      <c r="F278" s="2"/>
      <c r="G278" s="43"/>
      <c r="H278" s="2"/>
      <c r="I278" s="2"/>
      <c r="J278" s="2"/>
      <c r="K278" s="2"/>
      <c r="L278" s="2"/>
      <c r="M278" s="2"/>
      <c r="N278" s="2"/>
      <c r="O278" s="2"/>
      <c r="P278" s="2"/>
      <c r="Q278" s="2"/>
      <c r="R278" s="2"/>
      <c r="S278" s="2"/>
      <c r="T278" s="2"/>
      <c r="U278" s="2"/>
      <c r="V278" s="2"/>
      <c r="W278" s="2"/>
      <c r="X278" s="2"/>
      <c r="Y278" s="2"/>
      <c r="Z278" s="2"/>
      <c r="AA278" s="2"/>
      <c r="AB278" s="2"/>
    </row>
    <row r="279" spans="1:28" ht="13">
      <c r="A279" s="2"/>
      <c r="B279" s="2"/>
      <c r="C279" s="2"/>
      <c r="D279" s="2"/>
      <c r="E279" s="2"/>
      <c r="F279" s="2"/>
      <c r="G279" s="43"/>
      <c r="H279" s="2"/>
      <c r="I279" s="2"/>
      <c r="J279" s="2"/>
      <c r="K279" s="2"/>
      <c r="L279" s="2"/>
      <c r="M279" s="2"/>
      <c r="N279" s="2"/>
      <c r="O279" s="2"/>
      <c r="P279" s="2"/>
      <c r="Q279" s="2"/>
      <c r="R279" s="2"/>
      <c r="S279" s="2"/>
      <c r="T279" s="2"/>
      <c r="U279" s="2"/>
      <c r="V279" s="2"/>
      <c r="W279" s="2"/>
      <c r="X279" s="2"/>
      <c r="Y279" s="2"/>
      <c r="Z279" s="2"/>
      <c r="AA279" s="2"/>
      <c r="AB279" s="2"/>
    </row>
    <row r="280" spans="1:28" ht="13">
      <c r="A280" s="2"/>
      <c r="B280" s="2"/>
      <c r="C280" s="2"/>
      <c r="D280" s="2"/>
      <c r="E280" s="2"/>
      <c r="F280" s="2"/>
      <c r="G280" s="43"/>
      <c r="H280" s="2"/>
      <c r="I280" s="2"/>
      <c r="J280" s="2"/>
      <c r="K280" s="2"/>
      <c r="L280" s="2"/>
      <c r="M280" s="2"/>
      <c r="N280" s="2"/>
      <c r="O280" s="2"/>
      <c r="P280" s="2"/>
      <c r="Q280" s="2"/>
      <c r="R280" s="2"/>
      <c r="S280" s="2"/>
      <c r="T280" s="2"/>
      <c r="U280" s="2"/>
      <c r="V280" s="2"/>
      <c r="W280" s="2"/>
      <c r="X280" s="2"/>
      <c r="Y280" s="2"/>
      <c r="Z280" s="2"/>
      <c r="AA280" s="2"/>
      <c r="AB280" s="2"/>
    </row>
    <row r="281" spans="1:28" ht="13">
      <c r="A281" s="2"/>
      <c r="B281" s="2"/>
      <c r="C281" s="2"/>
      <c r="D281" s="2"/>
      <c r="E281" s="2"/>
      <c r="F281" s="2"/>
      <c r="G281" s="43"/>
      <c r="H281" s="2"/>
      <c r="I281" s="2"/>
      <c r="J281" s="2"/>
      <c r="K281" s="2"/>
      <c r="L281" s="2"/>
      <c r="M281" s="2"/>
      <c r="N281" s="2"/>
      <c r="O281" s="2"/>
      <c r="P281" s="2"/>
      <c r="Q281" s="2"/>
      <c r="R281" s="2"/>
      <c r="S281" s="2"/>
      <c r="T281" s="2"/>
      <c r="U281" s="2"/>
      <c r="V281" s="2"/>
      <c r="W281" s="2"/>
      <c r="X281" s="2"/>
      <c r="Y281" s="2"/>
      <c r="Z281" s="2"/>
      <c r="AA281" s="2"/>
      <c r="AB281" s="2"/>
    </row>
    <row r="282" spans="1:28" ht="13">
      <c r="A282" s="2"/>
      <c r="B282" s="2"/>
      <c r="C282" s="2"/>
      <c r="D282" s="2"/>
      <c r="E282" s="2"/>
      <c r="F282" s="2"/>
      <c r="G282" s="43"/>
      <c r="H282" s="2"/>
      <c r="I282" s="2"/>
      <c r="J282" s="2"/>
      <c r="K282" s="2"/>
      <c r="L282" s="2"/>
      <c r="M282" s="2"/>
      <c r="N282" s="2"/>
      <c r="O282" s="2"/>
      <c r="P282" s="2"/>
      <c r="Q282" s="2"/>
      <c r="R282" s="2"/>
      <c r="S282" s="2"/>
      <c r="T282" s="2"/>
      <c r="U282" s="2"/>
      <c r="V282" s="2"/>
      <c r="W282" s="2"/>
      <c r="X282" s="2"/>
      <c r="Y282" s="2"/>
      <c r="Z282" s="2"/>
      <c r="AA282" s="2"/>
      <c r="AB282" s="2"/>
    </row>
    <row r="283" spans="1:28" ht="13">
      <c r="A283" s="2"/>
      <c r="B283" s="2"/>
      <c r="C283" s="2"/>
      <c r="D283" s="2"/>
      <c r="E283" s="2"/>
      <c r="F283" s="2"/>
      <c r="G283" s="43"/>
      <c r="H283" s="2"/>
      <c r="I283" s="2"/>
      <c r="J283" s="2"/>
      <c r="K283" s="2"/>
      <c r="L283" s="2"/>
      <c r="M283" s="2"/>
      <c r="N283" s="2"/>
      <c r="O283" s="2"/>
      <c r="P283" s="2"/>
      <c r="Q283" s="2"/>
      <c r="R283" s="2"/>
      <c r="S283" s="2"/>
      <c r="T283" s="2"/>
      <c r="U283" s="2"/>
      <c r="V283" s="2"/>
      <c r="W283" s="2"/>
      <c r="X283" s="2"/>
      <c r="Y283" s="2"/>
      <c r="Z283" s="2"/>
      <c r="AA283" s="2"/>
      <c r="AB283" s="2"/>
    </row>
    <row r="284" spans="1:28" ht="13">
      <c r="A284" s="2"/>
      <c r="B284" s="2"/>
      <c r="C284" s="2"/>
      <c r="D284" s="2"/>
      <c r="E284" s="2"/>
      <c r="F284" s="2"/>
      <c r="G284" s="43"/>
      <c r="H284" s="2"/>
      <c r="I284" s="2"/>
      <c r="J284" s="2"/>
      <c r="K284" s="2"/>
      <c r="L284" s="2"/>
      <c r="M284" s="2"/>
      <c r="N284" s="2"/>
      <c r="O284" s="2"/>
      <c r="P284" s="2"/>
      <c r="Q284" s="2"/>
      <c r="R284" s="2"/>
      <c r="S284" s="2"/>
      <c r="T284" s="2"/>
      <c r="U284" s="2"/>
      <c r="V284" s="2"/>
      <c r="W284" s="2"/>
      <c r="X284" s="2"/>
      <c r="Y284" s="2"/>
      <c r="Z284" s="2"/>
      <c r="AA284" s="2"/>
      <c r="AB284" s="2"/>
    </row>
    <row r="285" spans="1:28" ht="13">
      <c r="A285" s="2"/>
      <c r="B285" s="2"/>
      <c r="C285" s="2"/>
      <c r="D285" s="2"/>
      <c r="E285" s="2"/>
      <c r="F285" s="2"/>
      <c r="G285" s="43"/>
      <c r="H285" s="2"/>
      <c r="I285" s="2"/>
      <c r="J285" s="2"/>
      <c r="K285" s="2"/>
      <c r="L285" s="2"/>
      <c r="M285" s="2"/>
      <c r="N285" s="2"/>
      <c r="O285" s="2"/>
      <c r="P285" s="2"/>
      <c r="Q285" s="2"/>
      <c r="R285" s="2"/>
      <c r="S285" s="2"/>
      <c r="T285" s="2"/>
      <c r="U285" s="2"/>
      <c r="V285" s="2"/>
      <c r="W285" s="2"/>
      <c r="X285" s="2"/>
      <c r="Y285" s="2"/>
      <c r="Z285" s="2"/>
      <c r="AA285" s="2"/>
      <c r="AB285" s="2"/>
    </row>
    <row r="286" spans="1:28" ht="13">
      <c r="A286" s="2"/>
      <c r="B286" s="2"/>
      <c r="C286" s="2"/>
      <c r="D286" s="2"/>
      <c r="E286" s="2"/>
      <c r="F286" s="2"/>
      <c r="G286" s="43"/>
      <c r="H286" s="2"/>
      <c r="I286" s="2"/>
      <c r="J286" s="2"/>
      <c r="K286" s="2"/>
      <c r="L286" s="2"/>
      <c r="M286" s="2"/>
      <c r="N286" s="2"/>
      <c r="O286" s="2"/>
      <c r="P286" s="2"/>
      <c r="Q286" s="2"/>
      <c r="R286" s="2"/>
      <c r="S286" s="2"/>
      <c r="T286" s="2"/>
      <c r="U286" s="2"/>
      <c r="V286" s="2"/>
      <c r="W286" s="2"/>
      <c r="X286" s="2"/>
      <c r="Y286" s="2"/>
      <c r="Z286" s="2"/>
      <c r="AA286" s="2"/>
      <c r="AB286" s="2"/>
    </row>
    <row r="287" spans="1:28" ht="13">
      <c r="A287" s="2"/>
      <c r="B287" s="2"/>
      <c r="C287" s="2"/>
      <c r="D287" s="2"/>
      <c r="E287" s="2"/>
      <c r="F287" s="2"/>
      <c r="G287" s="43"/>
      <c r="H287" s="2"/>
      <c r="I287" s="2"/>
      <c r="J287" s="2"/>
      <c r="K287" s="2"/>
      <c r="L287" s="2"/>
      <c r="M287" s="2"/>
      <c r="N287" s="2"/>
      <c r="O287" s="2"/>
      <c r="P287" s="2"/>
      <c r="Q287" s="2"/>
      <c r="R287" s="2"/>
      <c r="S287" s="2"/>
      <c r="T287" s="2"/>
      <c r="U287" s="2"/>
      <c r="V287" s="2"/>
      <c r="W287" s="2"/>
      <c r="X287" s="2"/>
      <c r="Y287" s="2"/>
      <c r="Z287" s="2"/>
      <c r="AA287" s="2"/>
      <c r="AB287" s="2"/>
    </row>
    <row r="288" spans="1:28" ht="13">
      <c r="A288" s="2"/>
      <c r="B288" s="2"/>
      <c r="C288" s="2"/>
      <c r="D288" s="2"/>
      <c r="E288" s="2"/>
      <c r="F288" s="2"/>
      <c r="G288" s="43"/>
      <c r="H288" s="2"/>
      <c r="I288" s="2"/>
      <c r="J288" s="2"/>
      <c r="K288" s="2"/>
      <c r="L288" s="2"/>
      <c r="M288" s="2"/>
      <c r="N288" s="2"/>
      <c r="O288" s="2"/>
      <c r="P288" s="2"/>
      <c r="Q288" s="2"/>
      <c r="R288" s="2"/>
      <c r="S288" s="2"/>
      <c r="T288" s="2"/>
      <c r="U288" s="2"/>
      <c r="V288" s="2"/>
      <c r="W288" s="2"/>
      <c r="X288" s="2"/>
      <c r="Y288" s="2"/>
      <c r="Z288" s="2"/>
      <c r="AA288" s="2"/>
      <c r="AB288" s="2"/>
    </row>
    <row r="289" spans="1:28" ht="13">
      <c r="A289" s="2"/>
      <c r="B289" s="2"/>
      <c r="C289" s="2"/>
      <c r="D289" s="2"/>
      <c r="E289" s="2"/>
      <c r="F289" s="2"/>
      <c r="G289" s="43"/>
      <c r="H289" s="2"/>
      <c r="I289" s="2"/>
      <c r="J289" s="2"/>
      <c r="K289" s="2"/>
      <c r="L289" s="2"/>
      <c r="M289" s="2"/>
      <c r="N289" s="2"/>
      <c r="O289" s="2"/>
      <c r="P289" s="2"/>
      <c r="Q289" s="2"/>
      <c r="R289" s="2"/>
      <c r="S289" s="2"/>
      <c r="T289" s="2"/>
      <c r="U289" s="2"/>
      <c r="V289" s="2"/>
      <c r="W289" s="2"/>
      <c r="X289" s="2"/>
      <c r="Y289" s="2"/>
      <c r="Z289" s="2"/>
      <c r="AA289" s="2"/>
      <c r="AB289" s="2"/>
    </row>
    <row r="290" spans="1:28" ht="13">
      <c r="A290" s="2"/>
      <c r="B290" s="2"/>
      <c r="C290" s="2"/>
      <c r="D290" s="2"/>
      <c r="E290" s="2"/>
      <c r="F290" s="2"/>
      <c r="G290" s="43"/>
      <c r="H290" s="2"/>
      <c r="I290" s="2"/>
      <c r="J290" s="2"/>
      <c r="K290" s="2"/>
      <c r="L290" s="2"/>
      <c r="M290" s="2"/>
      <c r="N290" s="2"/>
      <c r="O290" s="2"/>
      <c r="P290" s="2"/>
      <c r="Q290" s="2"/>
      <c r="R290" s="2"/>
      <c r="S290" s="2"/>
      <c r="T290" s="2"/>
      <c r="U290" s="2"/>
      <c r="V290" s="2"/>
      <c r="W290" s="2"/>
      <c r="X290" s="2"/>
      <c r="Y290" s="2"/>
      <c r="Z290" s="2"/>
      <c r="AA290" s="2"/>
      <c r="AB290" s="2"/>
    </row>
    <row r="291" spans="1:28" ht="13">
      <c r="A291" s="2"/>
      <c r="B291" s="2"/>
      <c r="C291" s="2"/>
      <c r="D291" s="2"/>
      <c r="E291" s="2"/>
      <c r="F291" s="2"/>
      <c r="G291" s="43"/>
      <c r="H291" s="2"/>
      <c r="I291" s="2"/>
      <c r="J291" s="2"/>
      <c r="K291" s="2"/>
      <c r="L291" s="2"/>
      <c r="M291" s="2"/>
      <c r="N291" s="2"/>
      <c r="O291" s="2"/>
      <c r="P291" s="2"/>
      <c r="Q291" s="2"/>
      <c r="R291" s="2"/>
      <c r="S291" s="2"/>
      <c r="T291" s="2"/>
      <c r="U291" s="2"/>
      <c r="V291" s="2"/>
      <c r="W291" s="2"/>
      <c r="X291" s="2"/>
      <c r="Y291" s="2"/>
      <c r="Z291" s="2"/>
      <c r="AA291" s="2"/>
      <c r="AB291" s="2"/>
    </row>
    <row r="292" spans="1:28" ht="13">
      <c r="A292" s="2"/>
      <c r="B292" s="2"/>
      <c r="C292" s="2"/>
      <c r="D292" s="2"/>
      <c r="E292" s="2"/>
      <c r="F292" s="2"/>
      <c r="G292" s="43"/>
      <c r="H292" s="2"/>
      <c r="I292" s="2"/>
      <c r="J292" s="2"/>
      <c r="K292" s="2"/>
      <c r="L292" s="2"/>
      <c r="M292" s="2"/>
      <c r="N292" s="2"/>
      <c r="O292" s="2"/>
      <c r="P292" s="2"/>
      <c r="Q292" s="2"/>
      <c r="R292" s="2"/>
      <c r="S292" s="2"/>
      <c r="T292" s="2"/>
      <c r="U292" s="2"/>
      <c r="V292" s="2"/>
      <c r="W292" s="2"/>
      <c r="X292" s="2"/>
      <c r="Y292" s="2"/>
      <c r="Z292" s="2"/>
      <c r="AA292" s="2"/>
      <c r="AB292" s="2"/>
    </row>
    <row r="293" spans="1:28" ht="13">
      <c r="A293" s="2"/>
      <c r="B293" s="2"/>
      <c r="C293" s="2"/>
      <c r="D293" s="2"/>
      <c r="E293" s="2"/>
      <c r="F293" s="2"/>
      <c r="G293" s="43"/>
      <c r="H293" s="2"/>
      <c r="I293" s="2"/>
      <c r="J293" s="2"/>
      <c r="K293" s="2"/>
      <c r="L293" s="2"/>
      <c r="M293" s="2"/>
      <c r="N293" s="2"/>
      <c r="O293" s="2"/>
      <c r="P293" s="2"/>
      <c r="Q293" s="2"/>
      <c r="R293" s="2"/>
      <c r="S293" s="2"/>
      <c r="T293" s="2"/>
      <c r="U293" s="2"/>
      <c r="V293" s="2"/>
      <c r="W293" s="2"/>
      <c r="X293" s="2"/>
      <c r="Y293" s="2"/>
      <c r="Z293" s="2"/>
      <c r="AA293" s="2"/>
      <c r="AB293" s="2"/>
    </row>
    <row r="294" spans="1:28" ht="13">
      <c r="A294" s="2"/>
      <c r="B294" s="2"/>
      <c r="C294" s="2"/>
      <c r="D294" s="2"/>
      <c r="E294" s="2"/>
      <c r="F294" s="2"/>
      <c r="G294" s="43"/>
      <c r="H294" s="2"/>
      <c r="I294" s="2"/>
      <c r="J294" s="2"/>
      <c r="K294" s="2"/>
      <c r="L294" s="2"/>
      <c r="M294" s="2"/>
      <c r="N294" s="2"/>
      <c r="O294" s="2"/>
      <c r="P294" s="2"/>
      <c r="Q294" s="2"/>
      <c r="R294" s="2"/>
      <c r="S294" s="2"/>
      <c r="T294" s="2"/>
      <c r="U294" s="2"/>
      <c r="V294" s="2"/>
      <c r="W294" s="2"/>
      <c r="X294" s="2"/>
      <c r="Y294" s="2"/>
      <c r="Z294" s="2"/>
      <c r="AA294" s="2"/>
      <c r="AB294" s="2"/>
    </row>
    <row r="295" spans="1:28" ht="13">
      <c r="A295" s="2"/>
      <c r="B295" s="2"/>
      <c r="C295" s="2"/>
      <c r="D295" s="2"/>
      <c r="E295" s="2"/>
      <c r="F295" s="2"/>
      <c r="G295" s="43"/>
      <c r="H295" s="2"/>
      <c r="I295" s="2"/>
      <c r="J295" s="2"/>
      <c r="K295" s="2"/>
      <c r="L295" s="2"/>
      <c r="M295" s="2"/>
      <c r="N295" s="2"/>
      <c r="O295" s="2"/>
      <c r="P295" s="2"/>
      <c r="Q295" s="2"/>
      <c r="R295" s="2"/>
      <c r="S295" s="2"/>
      <c r="T295" s="2"/>
      <c r="U295" s="2"/>
      <c r="V295" s="2"/>
      <c r="W295" s="2"/>
      <c r="X295" s="2"/>
      <c r="Y295" s="2"/>
      <c r="Z295" s="2"/>
      <c r="AA295" s="2"/>
      <c r="AB295" s="2"/>
    </row>
    <row r="296" spans="1:28" ht="13">
      <c r="A296" s="2"/>
      <c r="B296" s="2"/>
      <c r="C296" s="2"/>
      <c r="D296" s="2"/>
      <c r="E296" s="2"/>
      <c r="F296" s="2"/>
      <c r="G296" s="43"/>
      <c r="H296" s="2"/>
      <c r="I296" s="2"/>
      <c r="J296" s="2"/>
      <c r="K296" s="2"/>
      <c r="L296" s="2"/>
      <c r="M296" s="2"/>
      <c r="N296" s="2"/>
      <c r="O296" s="2"/>
      <c r="P296" s="2"/>
      <c r="Q296" s="2"/>
      <c r="R296" s="2"/>
      <c r="S296" s="2"/>
      <c r="T296" s="2"/>
      <c r="U296" s="2"/>
      <c r="V296" s="2"/>
      <c r="W296" s="2"/>
      <c r="X296" s="2"/>
      <c r="Y296" s="2"/>
      <c r="Z296" s="2"/>
      <c r="AA296" s="2"/>
      <c r="AB296" s="2"/>
    </row>
    <row r="297" spans="1:28" ht="13">
      <c r="A297" s="2"/>
      <c r="B297" s="2"/>
      <c r="C297" s="2"/>
      <c r="D297" s="2"/>
      <c r="E297" s="2"/>
      <c r="F297" s="2"/>
      <c r="G297" s="43"/>
      <c r="H297" s="2"/>
      <c r="I297" s="2"/>
      <c r="J297" s="2"/>
      <c r="K297" s="2"/>
      <c r="L297" s="2"/>
      <c r="M297" s="2"/>
      <c r="N297" s="2"/>
      <c r="O297" s="2"/>
      <c r="P297" s="2"/>
      <c r="Q297" s="2"/>
      <c r="R297" s="2"/>
      <c r="S297" s="2"/>
      <c r="T297" s="2"/>
      <c r="U297" s="2"/>
      <c r="V297" s="2"/>
      <c r="W297" s="2"/>
      <c r="X297" s="2"/>
      <c r="Y297" s="2"/>
      <c r="Z297" s="2"/>
      <c r="AA297" s="2"/>
      <c r="AB297" s="2"/>
    </row>
    <row r="298" spans="1:28" ht="13">
      <c r="A298" s="2"/>
      <c r="B298" s="2"/>
      <c r="C298" s="2"/>
      <c r="D298" s="2"/>
      <c r="E298" s="2"/>
      <c r="F298" s="2"/>
      <c r="G298" s="43"/>
      <c r="H298" s="2"/>
      <c r="I298" s="2"/>
      <c r="J298" s="2"/>
      <c r="K298" s="2"/>
      <c r="L298" s="2"/>
      <c r="M298" s="2"/>
      <c r="N298" s="2"/>
      <c r="O298" s="2"/>
      <c r="P298" s="2"/>
      <c r="Q298" s="2"/>
      <c r="R298" s="2"/>
      <c r="S298" s="2"/>
      <c r="T298" s="2"/>
      <c r="U298" s="2"/>
      <c r="V298" s="2"/>
      <c r="W298" s="2"/>
      <c r="X298" s="2"/>
      <c r="Y298" s="2"/>
      <c r="Z298" s="2"/>
      <c r="AA298" s="2"/>
      <c r="AB298" s="2"/>
    </row>
    <row r="299" spans="1:28" ht="13">
      <c r="A299" s="2"/>
      <c r="B299" s="2"/>
      <c r="C299" s="2"/>
      <c r="D299" s="2"/>
      <c r="E299" s="2"/>
      <c r="F299" s="2"/>
      <c r="G299" s="43"/>
      <c r="H299" s="2"/>
      <c r="I299" s="2"/>
      <c r="J299" s="2"/>
      <c r="K299" s="2"/>
      <c r="L299" s="2"/>
      <c r="M299" s="2"/>
      <c r="N299" s="2"/>
      <c r="O299" s="2"/>
      <c r="P299" s="2"/>
      <c r="Q299" s="2"/>
      <c r="R299" s="2"/>
      <c r="S299" s="2"/>
      <c r="T299" s="2"/>
      <c r="U299" s="2"/>
      <c r="V299" s="2"/>
      <c r="W299" s="2"/>
      <c r="X299" s="2"/>
      <c r="Y299" s="2"/>
      <c r="Z299" s="2"/>
      <c r="AA299" s="2"/>
      <c r="AB299" s="2"/>
    </row>
    <row r="300" spans="1:28" ht="13">
      <c r="A300" s="2"/>
      <c r="B300" s="2"/>
      <c r="C300" s="2"/>
      <c r="D300" s="2"/>
      <c r="E300" s="2"/>
      <c r="F300" s="2"/>
      <c r="G300" s="43"/>
      <c r="H300" s="2"/>
      <c r="I300" s="2"/>
      <c r="J300" s="2"/>
      <c r="K300" s="2"/>
      <c r="L300" s="2"/>
      <c r="M300" s="2"/>
      <c r="N300" s="2"/>
      <c r="O300" s="2"/>
      <c r="P300" s="2"/>
      <c r="Q300" s="2"/>
      <c r="R300" s="2"/>
      <c r="S300" s="2"/>
      <c r="T300" s="2"/>
      <c r="U300" s="2"/>
      <c r="V300" s="2"/>
      <c r="W300" s="2"/>
      <c r="X300" s="2"/>
      <c r="Y300" s="2"/>
      <c r="Z300" s="2"/>
      <c r="AA300" s="2"/>
      <c r="AB300" s="2"/>
    </row>
    <row r="301" spans="1:28" ht="13">
      <c r="A301" s="2"/>
      <c r="B301" s="2"/>
      <c r="C301" s="2"/>
      <c r="D301" s="2"/>
      <c r="E301" s="2"/>
      <c r="F301" s="2"/>
      <c r="G301" s="43"/>
      <c r="H301" s="2"/>
      <c r="I301" s="2"/>
      <c r="J301" s="2"/>
      <c r="K301" s="2"/>
      <c r="L301" s="2"/>
      <c r="M301" s="2"/>
      <c r="N301" s="2"/>
      <c r="O301" s="2"/>
      <c r="P301" s="2"/>
      <c r="Q301" s="2"/>
      <c r="R301" s="2"/>
      <c r="S301" s="2"/>
      <c r="T301" s="2"/>
      <c r="U301" s="2"/>
      <c r="V301" s="2"/>
      <c r="W301" s="2"/>
      <c r="X301" s="2"/>
      <c r="Y301" s="2"/>
      <c r="Z301" s="2"/>
      <c r="AA301" s="2"/>
      <c r="AB301" s="2"/>
    </row>
    <row r="302" spans="1:28" ht="13">
      <c r="A302" s="2"/>
      <c r="B302" s="2"/>
      <c r="C302" s="2"/>
      <c r="D302" s="2"/>
      <c r="E302" s="2"/>
      <c r="F302" s="2"/>
      <c r="G302" s="43"/>
      <c r="H302" s="2"/>
      <c r="I302" s="2"/>
      <c r="J302" s="2"/>
      <c r="K302" s="2"/>
      <c r="L302" s="2"/>
      <c r="M302" s="2"/>
      <c r="N302" s="2"/>
      <c r="O302" s="2"/>
      <c r="P302" s="2"/>
      <c r="Q302" s="2"/>
      <c r="R302" s="2"/>
      <c r="S302" s="2"/>
      <c r="T302" s="2"/>
      <c r="U302" s="2"/>
      <c r="V302" s="2"/>
      <c r="W302" s="2"/>
      <c r="X302" s="2"/>
      <c r="Y302" s="2"/>
      <c r="Z302" s="2"/>
      <c r="AA302" s="2"/>
      <c r="AB302" s="2"/>
    </row>
    <row r="303" spans="1:28" ht="13">
      <c r="A303" s="2"/>
      <c r="B303" s="2"/>
      <c r="C303" s="2"/>
      <c r="D303" s="2"/>
      <c r="E303" s="2"/>
      <c r="F303" s="2"/>
      <c r="G303" s="43"/>
      <c r="H303" s="2"/>
      <c r="I303" s="2"/>
      <c r="J303" s="2"/>
      <c r="K303" s="2"/>
      <c r="L303" s="2"/>
      <c r="M303" s="2"/>
      <c r="N303" s="2"/>
      <c r="O303" s="2"/>
      <c r="P303" s="2"/>
      <c r="Q303" s="2"/>
      <c r="R303" s="2"/>
      <c r="S303" s="2"/>
      <c r="T303" s="2"/>
      <c r="U303" s="2"/>
      <c r="V303" s="2"/>
      <c r="W303" s="2"/>
      <c r="X303" s="2"/>
      <c r="Y303" s="2"/>
      <c r="Z303" s="2"/>
      <c r="AA303" s="2"/>
      <c r="AB303" s="2"/>
    </row>
    <row r="304" spans="1:28" ht="13">
      <c r="A304" s="2"/>
      <c r="B304" s="2"/>
      <c r="C304" s="2"/>
      <c r="D304" s="2"/>
      <c r="E304" s="2"/>
      <c r="F304" s="2"/>
      <c r="G304" s="43"/>
      <c r="H304" s="2"/>
      <c r="I304" s="2"/>
      <c r="J304" s="2"/>
      <c r="K304" s="2"/>
      <c r="L304" s="2"/>
      <c r="M304" s="2"/>
      <c r="N304" s="2"/>
      <c r="O304" s="2"/>
      <c r="P304" s="2"/>
      <c r="Q304" s="2"/>
      <c r="R304" s="2"/>
      <c r="S304" s="2"/>
      <c r="T304" s="2"/>
      <c r="U304" s="2"/>
      <c r="V304" s="2"/>
      <c r="W304" s="2"/>
      <c r="X304" s="2"/>
      <c r="Y304" s="2"/>
      <c r="Z304" s="2"/>
      <c r="AA304" s="2"/>
      <c r="AB304" s="2"/>
    </row>
    <row r="305" spans="1:28" ht="13">
      <c r="A305" s="2"/>
      <c r="B305" s="2"/>
      <c r="C305" s="2"/>
      <c r="D305" s="2"/>
      <c r="E305" s="2"/>
      <c r="F305" s="2"/>
      <c r="G305" s="43"/>
      <c r="H305" s="2"/>
      <c r="I305" s="2"/>
      <c r="J305" s="2"/>
      <c r="K305" s="2"/>
      <c r="L305" s="2"/>
      <c r="M305" s="2"/>
      <c r="N305" s="2"/>
      <c r="O305" s="2"/>
      <c r="P305" s="2"/>
      <c r="Q305" s="2"/>
      <c r="R305" s="2"/>
      <c r="S305" s="2"/>
      <c r="T305" s="2"/>
      <c r="U305" s="2"/>
      <c r="V305" s="2"/>
      <c r="W305" s="2"/>
      <c r="X305" s="2"/>
      <c r="Y305" s="2"/>
      <c r="Z305" s="2"/>
      <c r="AA305" s="2"/>
      <c r="AB305" s="2"/>
    </row>
    <row r="306" spans="1:28" ht="13">
      <c r="A306" s="2"/>
      <c r="B306" s="2"/>
      <c r="C306" s="2"/>
      <c r="D306" s="2"/>
      <c r="E306" s="2"/>
      <c r="F306" s="2"/>
      <c r="G306" s="43"/>
      <c r="H306" s="2"/>
      <c r="I306" s="2"/>
      <c r="J306" s="2"/>
      <c r="K306" s="2"/>
      <c r="L306" s="2"/>
      <c r="M306" s="2"/>
      <c r="N306" s="2"/>
      <c r="O306" s="2"/>
      <c r="P306" s="2"/>
      <c r="Q306" s="2"/>
      <c r="R306" s="2"/>
      <c r="S306" s="2"/>
      <c r="T306" s="2"/>
      <c r="U306" s="2"/>
      <c r="V306" s="2"/>
      <c r="W306" s="2"/>
      <c r="X306" s="2"/>
      <c r="Y306" s="2"/>
      <c r="Z306" s="2"/>
      <c r="AA306" s="2"/>
      <c r="AB306" s="2"/>
    </row>
    <row r="307" spans="1:28" ht="13">
      <c r="A307" s="2"/>
      <c r="B307" s="2"/>
      <c r="C307" s="2"/>
      <c r="D307" s="2"/>
      <c r="E307" s="2"/>
      <c r="F307" s="2"/>
      <c r="G307" s="43"/>
      <c r="H307" s="2"/>
      <c r="I307" s="2"/>
      <c r="J307" s="2"/>
      <c r="K307" s="2"/>
      <c r="L307" s="2"/>
      <c r="M307" s="2"/>
      <c r="N307" s="2"/>
      <c r="O307" s="2"/>
      <c r="P307" s="2"/>
      <c r="Q307" s="2"/>
      <c r="R307" s="2"/>
      <c r="S307" s="2"/>
      <c r="T307" s="2"/>
      <c r="U307" s="2"/>
      <c r="V307" s="2"/>
      <c r="W307" s="2"/>
      <c r="X307" s="2"/>
      <c r="Y307" s="2"/>
      <c r="Z307" s="2"/>
      <c r="AA307" s="2"/>
      <c r="AB307" s="2"/>
    </row>
    <row r="308" spans="1:28" ht="13">
      <c r="A308" s="2"/>
      <c r="B308" s="2"/>
      <c r="C308" s="2"/>
      <c r="D308" s="2"/>
      <c r="E308" s="2"/>
      <c r="F308" s="2"/>
      <c r="G308" s="43"/>
      <c r="H308" s="2"/>
      <c r="I308" s="2"/>
      <c r="J308" s="2"/>
      <c r="K308" s="2"/>
      <c r="L308" s="2"/>
      <c r="M308" s="2"/>
      <c r="N308" s="2"/>
      <c r="O308" s="2"/>
      <c r="P308" s="2"/>
      <c r="Q308" s="2"/>
      <c r="R308" s="2"/>
      <c r="S308" s="2"/>
      <c r="T308" s="2"/>
      <c r="U308" s="2"/>
      <c r="V308" s="2"/>
      <c r="W308" s="2"/>
      <c r="X308" s="2"/>
      <c r="Y308" s="2"/>
      <c r="Z308" s="2"/>
      <c r="AA308" s="2"/>
      <c r="AB308" s="2"/>
    </row>
    <row r="309" spans="1:28" ht="13">
      <c r="A309" s="2"/>
      <c r="B309" s="2"/>
      <c r="C309" s="2"/>
      <c r="D309" s="2"/>
      <c r="E309" s="2"/>
      <c r="F309" s="2"/>
      <c r="G309" s="43"/>
      <c r="H309" s="2"/>
      <c r="I309" s="2"/>
      <c r="J309" s="2"/>
      <c r="K309" s="2"/>
      <c r="L309" s="2"/>
      <c r="M309" s="2"/>
      <c r="N309" s="2"/>
      <c r="O309" s="2"/>
      <c r="P309" s="2"/>
      <c r="Q309" s="2"/>
      <c r="R309" s="2"/>
      <c r="S309" s="2"/>
      <c r="T309" s="2"/>
      <c r="U309" s="2"/>
      <c r="V309" s="2"/>
      <c r="W309" s="2"/>
      <c r="X309" s="2"/>
      <c r="Y309" s="2"/>
      <c r="Z309" s="2"/>
      <c r="AA309" s="2"/>
      <c r="AB309" s="2"/>
    </row>
    <row r="310" spans="1:28" ht="13">
      <c r="A310" s="2"/>
      <c r="B310" s="2"/>
      <c r="C310" s="2"/>
      <c r="D310" s="2"/>
      <c r="E310" s="2"/>
      <c r="F310" s="2"/>
      <c r="G310" s="43"/>
      <c r="H310" s="2"/>
      <c r="I310" s="2"/>
      <c r="J310" s="2"/>
      <c r="K310" s="2"/>
      <c r="L310" s="2"/>
      <c r="M310" s="2"/>
      <c r="N310" s="2"/>
      <c r="O310" s="2"/>
      <c r="P310" s="2"/>
      <c r="Q310" s="2"/>
      <c r="R310" s="2"/>
      <c r="S310" s="2"/>
      <c r="T310" s="2"/>
      <c r="U310" s="2"/>
      <c r="V310" s="2"/>
      <c r="W310" s="2"/>
      <c r="X310" s="2"/>
      <c r="Y310" s="2"/>
      <c r="Z310" s="2"/>
      <c r="AA310" s="2"/>
      <c r="AB310" s="2"/>
    </row>
    <row r="311" spans="1:28" ht="13">
      <c r="A311" s="2"/>
      <c r="B311" s="2"/>
      <c r="C311" s="2"/>
      <c r="D311" s="2"/>
      <c r="E311" s="2"/>
      <c r="F311" s="2"/>
      <c r="G311" s="43"/>
      <c r="H311" s="2"/>
      <c r="I311" s="2"/>
      <c r="J311" s="2"/>
      <c r="K311" s="2"/>
      <c r="L311" s="2"/>
      <c r="M311" s="2"/>
      <c r="N311" s="2"/>
      <c r="O311" s="2"/>
      <c r="P311" s="2"/>
      <c r="Q311" s="2"/>
      <c r="R311" s="2"/>
      <c r="S311" s="2"/>
      <c r="T311" s="2"/>
      <c r="U311" s="2"/>
      <c r="V311" s="2"/>
      <c r="W311" s="2"/>
      <c r="X311" s="2"/>
      <c r="Y311" s="2"/>
      <c r="Z311" s="2"/>
      <c r="AA311" s="2"/>
      <c r="AB311" s="2"/>
    </row>
    <row r="312" spans="1:28" ht="13">
      <c r="A312" s="2"/>
      <c r="B312" s="2"/>
      <c r="C312" s="2"/>
      <c r="D312" s="2"/>
      <c r="E312" s="2"/>
      <c r="F312" s="2"/>
      <c r="G312" s="43"/>
      <c r="H312" s="2"/>
      <c r="I312" s="2"/>
      <c r="J312" s="2"/>
      <c r="K312" s="2"/>
      <c r="L312" s="2"/>
      <c r="M312" s="2"/>
      <c r="N312" s="2"/>
      <c r="O312" s="2"/>
      <c r="P312" s="2"/>
      <c r="Q312" s="2"/>
      <c r="R312" s="2"/>
      <c r="S312" s="2"/>
      <c r="T312" s="2"/>
      <c r="U312" s="2"/>
      <c r="V312" s="2"/>
      <c r="W312" s="2"/>
      <c r="X312" s="2"/>
      <c r="Y312" s="2"/>
      <c r="Z312" s="2"/>
      <c r="AA312" s="2"/>
      <c r="AB312" s="2"/>
    </row>
    <row r="313" spans="1:28" ht="13">
      <c r="A313" s="2"/>
      <c r="B313" s="2"/>
      <c r="C313" s="2"/>
      <c r="D313" s="2"/>
      <c r="E313" s="2"/>
      <c r="F313" s="2"/>
      <c r="G313" s="43"/>
      <c r="H313" s="2"/>
      <c r="I313" s="2"/>
      <c r="J313" s="2"/>
      <c r="K313" s="2"/>
      <c r="L313" s="2"/>
      <c r="M313" s="2"/>
      <c r="N313" s="2"/>
      <c r="O313" s="2"/>
      <c r="P313" s="2"/>
      <c r="Q313" s="2"/>
      <c r="R313" s="2"/>
      <c r="S313" s="2"/>
      <c r="T313" s="2"/>
      <c r="U313" s="2"/>
      <c r="V313" s="2"/>
      <c r="W313" s="2"/>
      <c r="X313" s="2"/>
      <c r="Y313" s="2"/>
      <c r="Z313" s="2"/>
      <c r="AA313" s="2"/>
      <c r="AB313" s="2"/>
    </row>
    <row r="314" spans="1:28" ht="13">
      <c r="A314" s="2"/>
      <c r="B314" s="2"/>
      <c r="C314" s="2"/>
      <c r="D314" s="2"/>
      <c r="E314" s="2"/>
      <c r="F314" s="2"/>
      <c r="G314" s="43"/>
      <c r="H314" s="2"/>
      <c r="I314" s="2"/>
      <c r="J314" s="2"/>
      <c r="K314" s="2"/>
      <c r="L314" s="2"/>
      <c r="M314" s="2"/>
      <c r="N314" s="2"/>
      <c r="O314" s="2"/>
      <c r="P314" s="2"/>
      <c r="Q314" s="2"/>
      <c r="R314" s="2"/>
      <c r="S314" s="2"/>
      <c r="T314" s="2"/>
      <c r="U314" s="2"/>
      <c r="V314" s="2"/>
      <c r="W314" s="2"/>
      <c r="X314" s="2"/>
      <c r="Y314" s="2"/>
      <c r="Z314" s="2"/>
      <c r="AA314" s="2"/>
      <c r="AB314" s="2"/>
    </row>
    <row r="315" spans="1:28" ht="13">
      <c r="A315" s="2"/>
      <c r="B315" s="2"/>
      <c r="C315" s="2"/>
      <c r="D315" s="2"/>
      <c r="E315" s="2"/>
      <c r="F315" s="2"/>
      <c r="G315" s="43"/>
      <c r="H315" s="2"/>
      <c r="I315" s="2"/>
      <c r="J315" s="2"/>
      <c r="K315" s="2"/>
      <c r="L315" s="2"/>
      <c r="M315" s="2"/>
      <c r="N315" s="2"/>
      <c r="O315" s="2"/>
      <c r="P315" s="2"/>
      <c r="Q315" s="2"/>
      <c r="R315" s="2"/>
      <c r="S315" s="2"/>
      <c r="T315" s="2"/>
      <c r="U315" s="2"/>
      <c r="V315" s="2"/>
      <c r="W315" s="2"/>
      <c r="X315" s="2"/>
      <c r="Y315" s="2"/>
      <c r="Z315" s="2"/>
      <c r="AA315" s="2"/>
      <c r="AB315" s="2"/>
    </row>
    <row r="316" spans="1:28" ht="13">
      <c r="A316" s="2"/>
      <c r="B316" s="2"/>
      <c r="C316" s="2"/>
      <c r="D316" s="2"/>
      <c r="E316" s="2"/>
      <c r="F316" s="2"/>
      <c r="G316" s="43"/>
      <c r="H316" s="2"/>
      <c r="I316" s="2"/>
      <c r="J316" s="2"/>
      <c r="K316" s="2"/>
      <c r="L316" s="2"/>
      <c r="M316" s="2"/>
      <c r="N316" s="2"/>
      <c r="O316" s="2"/>
      <c r="P316" s="2"/>
      <c r="Q316" s="2"/>
      <c r="R316" s="2"/>
      <c r="S316" s="2"/>
      <c r="T316" s="2"/>
      <c r="U316" s="2"/>
      <c r="V316" s="2"/>
      <c r="W316" s="2"/>
      <c r="X316" s="2"/>
      <c r="Y316" s="2"/>
      <c r="Z316" s="2"/>
      <c r="AA316" s="2"/>
      <c r="AB316" s="2"/>
    </row>
    <row r="317" spans="1:28" ht="13">
      <c r="A317" s="2"/>
      <c r="B317" s="2"/>
      <c r="C317" s="2"/>
      <c r="D317" s="2"/>
      <c r="E317" s="2"/>
      <c r="F317" s="2"/>
      <c r="G317" s="43"/>
      <c r="H317" s="2"/>
      <c r="I317" s="2"/>
      <c r="J317" s="2"/>
      <c r="K317" s="2"/>
      <c r="L317" s="2"/>
      <c r="M317" s="2"/>
      <c r="N317" s="2"/>
      <c r="O317" s="2"/>
      <c r="P317" s="2"/>
      <c r="Q317" s="2"/>
      <c r="R317" s="2"/>
      <c r="S317" s="2"/>
      <c r="T317" s="2"/>
      <c r="U317" s="2"/>
      <c r="V317" s="2"/>
      <c r="W317" s="2"/>
      <c r="X317" s="2"/>
      <c r="Y317" s="2"/>
      <c r="Z317" s="2"/>
      <c r="AA317" s="2"/>
      <c r="AB317" s="2"/>
    </row>
    <row r="318" spans="1:28" ht="13">
      <c r="A318" s="2"/>
      <c r="B318" s="2"/>
      <c r="C318" s="2"/>
      <c r="D318" s="2"/>
      <c r="E318" s="2"/>
      <c r="F318" s="2"/>
      <c r="G318" s="43"/>
      <c r="H318" s="2"/>
      <c r="I318" s="2"/>
      <c r="J318" s="2"/>
      <c r="K318" s="2"/>
      <c r="L318" s="2"/>
      <c r="M318" s="2"/>
      <c r="N318" s="2"/>
      <c r="O318" s="2"/>
      <c r="P318" s="2"/>
      <c r="Q318" s="2"/>
      <c r="R318" s="2"/>
      <c r="S318" s="2"/>
      <c r="T318" s="2"/>
      <c r="U318" s="2"/>
      <c r="V318" s="2"/>
      <c r="W318" s="2"/>
      <c r="X318" s="2"/>
      <c r="Y318" s="2"/>
      <c r="Z318" s="2"/>
      <c r="AA318" s="2"/>
      <c r="AB318" s="2"/>
    </row>
    <row r="319" spans="1:28" ht="13">
      <c r="A319" s="2"/>
      <c r="B319" s="2"/>
      <c r="C319" s="2"/>
      <c r="D319" s="2"/>
      <c r="E319" s="2"/>
      <c r="F319" s="2"/>
      <c r="G319" s="43"/>
      <c r="H319" s="2"/>
      <c r="I319" s="2"/>
      <c r="J319" s="2"/>
      <c r="K319" s="2"/>
      <c r="L319" s="2"/>
      <c r="M319" s="2"/>
      <c r="N319" s="2"/>
      <c r="O319" s="2"/>
      <c r="P319" s="2"/>
      <c r="Q319" s="2"/>
      <c r="R319" s="2"/>
      <c r="S319" s="2"/>
      <c r="T319" s="2"/>
      <c r="U319" s="2"/>
      <c r="V319" s="2"/>
      <c r="W319" s="2"/>
      <c r="X319" s="2"/>
      <c r="Y319" s="2"/>
      <c r="Z319" s="2"/>
      <c r="AA319" s="2"/>
      <c r="AB319" s="2"/>
    </row>
    <row r="320" spans="1:28" ht="13">
      <c r="A320" s="2"/>
      <c r="B320" s="2"/>
      <c r="C320" s="2"/>
      <c r="D320" s="2"/>
      <c r="E320" s="2"/>
      <c r="F320" s="2"/>
      <c r="G320" s="43"/>
      <c r="H320" s="2"/>
      <c r="I320" s="2"/>
      <c r="J320" s="2"/>
      <c r="K320" s="2"/>
      <c r="L320" s="2"/>
      <c r="M320" s="2"/>
      <c r="N320" s="2"/>
      <c r="O320" s="2"/>
      <c r="P320" s="2"/>
      <c r="Q320" s="2"/>
      <c r="R320" s="2"/>
      <c r="S320" s="2"/>
      <c r="T320" s="2"/>
      <c r="U320" s="2"/>
      <c r="V320" s="2"/>
      <c r="W320" s="2"/>
      <c r="X320" s="2"/>
      <c r="Y320" s="2"/>
      <c r="Z320" s="2"/>
      <c r="AA320" s="2"/>
      <c r="AB320" s="2"/>
    </row>
    <row r="321" spans="1:28" ht="13">
      <c r="A321" s="2"/>
      <c r="B321" s="2"/>
      <c r="C321" s="2"/>
      <c r="D321" s="2"/>
      <c r="E321" s="2"/>
      <c r="F321" s="2"/>
      <c r="G321" s="43"/>
      <c r="H321" s="2"/>
      <c r="I321" s="2"/>
      <c r="J321" s="2"/>
      <c r="K321" s="2"/>
      <c r="L321" s="2"/>
      <c r="M321" s="2"/>
      <c r="N321" s="2"/>
      <c r="O321" s="2"/>
      <c r="P321" s="2"/>
      <c r="Q321" s="2"/>
      <c r="R321" s="2"/>
      <c r="S321" s="2"/>
      <c r="T321" s="2"/>
      <c r="U321" s="2"/>
      <c r="V321" s="2"/>
      <c r="W321" s="2"/>
      <c r="X321" s="2"/>
      <c r="Y321" s="2"/>
      <c r="Z321" s="2"/>
      <c r="AA321" s="2"/>
      <c r="AB321" s="2"/>
    </row>
    <row r="322" spans="1:28" ht="13">
      <c r="A322" s="2"/>
      <c r="B322" s="2"/>
      <c r="C322" s="2"/>
      <c r="D322" s="2"/>
      <c r="E322" s="2"/>
      <c r="F322" s="2"/>
      <c r="G322" s="43"/>
      <c r="H322" s="2"/>
      <c r="I322" s="2"/>
      <c r="J322" s="2"/>
      <c r="K322" s="2"/>
      <c r="L322" s="2"/>
      <c r="M322" s="2"/>
      <c r="N322" s="2"/>
      <c r="O322" s="2"/>
      <c r="P322" s="2"/>
      <c r="Q322" s="2"/>
      <c r="R322" s="2"/>
      <c r="S322" s="2"/>
      <c r="T322" s="2"/>
      <c r="U322" s="2"/>
      <c r="V322" s="2"/>
      <c r="W322" s="2"/>
      <c r="X322" s="2"/>
      <c r="Y322" s="2"/>
      <c r="Z322" s="2"/>
      <c r="AA322" s="2"/>
      <c r="AB322" s="2"/>
    </row>
    <row r="323" spans="1:28" ht="13">
      <c r="A323" s="2"/>
      <c r="B323" s="2"/>
      <c r="C323" s="2"/>
      <c r="D323" s="2"/>
      <c r="E323" s="2"/>
      <c r="F323" s="2"/>
      <c r="G323" s="43"/>
      <c r="H323" s="2"/>
      <c r="I323" s="2"/>
      <c r="J323" s="2"/>
      <c r="K323" s="2"/>
      <c r="L323" s="2"/>
      <c r="M323" s="2"/>
      <c r="N323" s="2"/>
      <c r="O323" s="2"/>
      <c r="P323" s="2"/>
      <c r="Q323" s="2"/>
      <c r="R323" s="2"/>
      <c r="S323" s="2"/>
      <c r="T323" s="2"/>
      <c r="U323" s="2"/>
      <c r="V323" s="2"/>
      <c r="W323" s="2"/>
      <c r="X323" s="2"/>
      <c r="Y323" s="2"/>
      <c r="Z323" s="2"/>
      <c r="AA323" s="2"/>
      <c r="AB323" s="2"/>
    </row>
    <row r="324" spans="1:28" ht="13">
      <c r="A324" s="2"/>
      <c r="B324" s="2"/>
      <c r="C324" s="2"/>
      <c r="D324" s="2"/>
      <c r="E324" s="2"/>
      <c r="F324" s="2"/>
      <c r="G324" s="43"/>
      <c r="H324" s="2"/>
      <c r="I324" s="2"/>
      <c r="J324" s="2"/>
      <c r="K324" s="2"/>
      <c r="L324" s="2"/>
      <c r="M324" s="2"/>
      <c r="N324" s="2"/>
      <c r="O324" s="2"/>
      <c r="P324" s="2"/>
      <c r="Q324" s="2"/>
      <c r="R324" s="2"/>
      <c r="S324" s="2"/>
      <c r="T324" s="2"/>
      <c r="U324" s="2"/>
      <c r="V324" s="2"/>
      <c r="W324" s="2"/>
      <c r="X324" s="2"/>
      <c r="Y324" s="2"/>
      <c r="Z324" s="2"/>
      <c r="AA324" s="2"/>
      <c r="AB324" s="2"/>
    </row>
    <row r="325" spans="1:28" ht="13">
      <c r="A325" s="2"/>
      <c r="B325" s="2"/>
      <c r="C325" s="2"/>
      <c r="D325" s="2"/>
      <c r="E325" s="2"/>
      <c r="F325" s="2"/>
      <c r="G325" s="43"/>
      <c r="H325" s="2"/>
      <c r="I325" s="2"/>
      <c r="J325" s="2"/>
      <c r="K325" s="2"/>
      <c r="L325" s="2"/>
      <c r="M325" s="2"/>
      <c r="N325" s="2"/>
      <c r="O325" s="2"/>
      <c r="P325" s="2"/>
      <c r="Q325" s="2"/>
      <c r="R325" s="2"/>
      <c r="S325" s="2"/>
      <c r="T325" s="2"/>
      <c r="U325" s="2"/>
      <c r="V325" s="2"/>
      <c r="W325" s="2"/>
      <c r="X325" s="2"/>
      <c r="Y325" s="2"/>
      <c r="Z325" s="2"/>
      <c r="AA325" s="2"/>
      <c r="AB325" s="2"/>
    </row>
    <row r="326" spans="1:28" ht="13">
      <c r="A326" s="2"/>
      <c r="B326" s="2"/>
      <c r="C326" s="2"/>
      <c r="D326" s="2"/>
      <c r="E326" s="2"/>
      <c r="F326" s="2"/>
      <c r="G326" s="43"/>
      <c r="H326" s="2"/>
      <c r="I326" s="2"/>
      <c r="J326" s="2"/>
      <c r="K326" s="2"/>
      <c r="L326" s="2"/>
      <c r="M326" s="2"/>
      <c r="N326" s="2"/>
      <c r="O326" s="2"/>
      <c r="P326" s="2"/>
      <c r="Q326" s="2"/>
      <c r="R326" s="2"/>
      <c r="S326" s="2"/>
      <c r="T326" s="2"/>
      <c r="U326" s="2"/>
      <c r="V326" s="2"/>
      <c r="W326" s="2"/>
      <c r="X326" s="2"/>
      <c r="Y326" s="2"/>
      <c r="Z326" s="2"/>
      <c r="AA326" s="2"/>
      <c r="AB326" s="2"/>
    </row>
    <row r="327" spans="1:28" ht="13">
      <c r="A327" s="2"/>
      <c r="B327" s="2"/>
      <c r="C327" s="2"/>
      <c r="D327" s="2"/>
      <c r="E327" s="2"/>
      <c r="F327" s="2"/>
      <c r="G327" s="43"/>
      <c r="H327" s="2"/>
      <c r="I327" s="2"/>
      <c r="J327" s="2"/>
      <c r="K327" s="2"/>
      <c r="L327" s="2"/>
      <c r="M327" s="2"/>
      <c r="N327" s="2"/>
      <c r="O327" s="2"/>
      <c r="P327" s="2"/>
      <c r="Q327" s="2"/>
      <c r="R327" s="2"/>
      <c r="S327" s="2"/>
      <c r="T327" s="2"/>
      <c r="U327" s="2"/>
      <c r="V327" s="2"/>
      <c r="W327" s="2"/>
      <c r="X327" s="2"/>
      <c r="Y327" s="2"/>
      <c r="Z327" s="2"/>
      <c r="AA327" s="2"/>
      <c r="AB327" s="2"/>
    </row>
    <row r="328" spans="1:28" ht="13">
      <c r="A328" s="2"/>
      <c r="B328" s="2"/>
      <c r="C328" s="2"/>
      <c r="D328" s="2"/>
      <c r="E328" s="2"/>
      <c r="F328" s="2"/>
      <c r="G328" s="43"/>
      <c r="H328" s="2"/>
      <c r="I328" s="2"/>
      <c r="J328" s="2"/>
      <c r="K328" s="2"/>
      <c r="L328" s="2"/>
      <c r="M328" s="2"/>
      <c r="N328" s="2"/>
      <c r="O328" s="2"/>
      <c r="P328" s="2"/>
      <c r="Q328" s="2"/>
      <c r="R328" s="2"/>
      <c r="S328" s="2"/>
      <c r="T328" s="2"/>
      <c r="U328" s="2"/>
      <c r="V328" s="2"/>
      <c r="W328" s="2"/>
      <c r="X328" s="2"/>
      <c r="Y328" s="2"/>
      <c r="Z328" s="2"/>
      <c r="AA328" s="2"/>
      <c r="AB328" s="2"/>
    </row>
    <row r="329" spans="1:28" ht="13">
      <c r="A329" s="2"/>
      <c r="B329" s="2"/>
      <c r="C329" s="2"/>
      <c r="D329" s="2"/>
      <c r="E329" s="2"/>
      <c r="F329" s="2"/>
      <c r="G329" s="43"/>
      <c r="H329" s="2"/>
      <c r="I329" s="2"/>
      <c r="J329" s="2"/>
      <c r="K329" s="2"/>
      <c r="L329" s="2"/>
      <c r="M329" s="2"/>
      <c r="N329" s="2"/>
      <c r="O329" s="2"/>
      <c r="P329" s="2"/>
      <c r="Q329" s="2"/>
      <c r="R329" s="2"/>
      <c r="S329" s="2"/>
      <c r="T329" s="2"/>
      <c r="U329" s="2"/>
      <c r="V329" s="2"/>
      <c r="W329" s="2"/>
      <c r="X329" s="2"/>
      <c r="Y329" s="2"/>
      <c r="Z329" s="2"/>
      <c r="AA329" s="2"/>
      <c r="AB329" s="2"/>
    </row>
    <row r="330" spans="1:28" ht="13">
      <c r="A330" s="2"/>
      <c r="B330" s="2"/>
      <c r="C330" s="2"/>
      <c r="D330" s="2"/>
      <c r="E330" s="2"/>
      <c r="F330" s="2"/>
      <c r="G330" s="43"/>
      <c r="H330" s="2"/>
      <c r="I330" s="2"/>
      <c r="J330" s="2"/>
      <c r="K330" s="2"/>
      <c r="L330" s="2"/>
      <c r="M330" s="2"/>
      <c r="N330" s="2"/>
      <c r="O330" s="2"/>
      <c r="P330" s="2"/>
      <c r="Q330" s="2"/>
      <c r="R330" s="2"/>
      <c r="S330" s="2"/>
      <c r="T330" s="2"/>
      <c r="U330" s="2"/>
      <c r="V330" s="2"/>
      <c r="W330" s="2"/>
      <c r="X330" s="2"/>
      <c r="Y330" s="2"/>
      <c r="Z330" s="2"/>
      <c r="AA330" s="2"/>
      <c r="AB330" s="2"/>
    </row>
    <row r="331" spans="1:28" ht="13">
      <c r="A331" s="2"/>
      <c r="B331" s="2"/>
      <c r="C331" s="2"/>
      <c r="D331" s="2"/>
      <c r="E331" s="2"/>
      <c r="F331" s="2"/>
      <c r="G331" s="43"/>
      <c r="H331" s="2"/>
      <c r="I331" s="2"/>
      <c r="J331" s="2"/>
      <c r="K331" s="2"/>
      <c r="L331" s="2"/>
      <c r="M331" s="2"/>
      <c r="N331" s="2"/>
      <c r="O331" s="2"/>
      <c r="P331" s="2"/>
      <c r="Q331" s="2"/>
      <c r="R331" s="2"/>
      <c r="S331" s="2"/>
      <c r="T331" s="2"/>
      <c r="U331" s="2"/>
      <c r="V331" s="2"/>
      <c r="W331" s="2"/>
      <c r="X331" s="2"/>
      <c r="Y331" s="2"/>
      <c r="Z331" s="2"/>
      <c r="AA331" s="2"/>
      <c r="AB331" s="2"/>
    </row>
    <row r="332" spans="1:28" ht="13">
      <c r="A332" s="2"/>
      <c r="B332" s="2"/>
      <c r="C332" s="2"/>
      <c r="D332" s="2"/>
      <c r="E332" s="2"/>
      <c r="F332" s="2"/>
      <c r="G332" s="43"/>
      <c r="H332" s="2"/>
      <c r="I332" s="2"/>
      <c r="J332" s="2"/>
      <c r="K332" s="2"/>
      <c r="L332" s="2"/>
      <c r="M332" s="2"/>
      <c r="N332" s="2"/>
      <c r="O332" s="2"/>
      <c r="P332" s="2"/>
      <c r="Q332" s="2"/>
      <c r="R332" s="2"/>
      <c r="S332" s="2"/>
      <c r="T332" s="2"/>
      <c r="U332" s="2"/>
      <c r="V332" s="2"/>
      <c r="W332" s="2"/>
      <c r="X332" s="2"/>
      <c r="Y332" s="2"/>
      <c r="Z332" s="2"/>
      <c r="AA332" s="2"/>
      <c r="AB332" s="2"/>
    </row>
    <row r="333" spans="1:28" ht="13">
      <c r="A333" s="2"/>
      <c r="B333" s="2"/>
      <c r="C333" s="2"/>
      <c r="D333" s="2"/>
      <c r="E333" s="2"/>
      <c r="F333" s="2"/>
      <c r="G333" s="43"/>
      <c r="H333" s="2"/>
      <c r="I333" s="2"/>
      <c r="J333" s="2"/>
      <c r="K333" s="2"/>
      <c r="L333" s="2"/>
      <c r="M333" s="2"/>
      <c r="N333" s="2"/>
      <c r="O333" s="2"/>
      <c r="P333" s="2"/>
      <c r="Q333" s="2"/>
      <c r="R333" s="2"/>
      <c r="S333" s="2"/>
      <c r="T333" s="2"/>
      <c r="U333" s="2"/>
      <c r="V333" s="2"/>
      <c r="W333" s="2"/>
      <c r="X333" s="2"/>
      <c r="Y333" s="2"/>
      <c r="Z333" s="2"/>
      <c r="AA333" s="2"/>
      <c r="AB333" s="2"/>
    </row>
    <row r="334" spans="1:28" ht="13">
      <c r="A334" s="2"/>
      <c r="B334" s="2"/>
      <c r="C334" s="2"/>
      <c r="D334" s="2"/>
      <c r="E334" s="2"/>
      <c r="F334" s="2"/>
      <c r="G334" s="43"/>
      <c r="H334" s="2"/>
      <c r="I334" s="2"/>
      <c r="J334" s="2"/>
      <c r="K334" s="2"/>
      <c r="L334" s="2"/>
      <c r="M334" s="2"/>
      <c r="N334" s="2"/>
      <c r="O334" s="2"/>
      <c r="P334" s="2"/>
      <c r="Q334" s="2"/>
      <c r="R334" s="2"/>
      <c r="S334" s="2"/>
      <c r="T334" s="2"/>
      <c r="U334" s="2"/>
      <c r="V334" s="2"/>
      <c r="W334" s="2"/>
      <c r="X334" s="2"/>
      <c r="Y334" s="2"/>
      <c r="Z334" s="2"/>
      <c r="AA334" s="2"/>
      <c r="AB334" s="2"/>
    </row>
    <row r="335" spans="1:28" ht="13">
      <c r="A335" s="2"/>
      <c r="B335" s="2"/>
      <c r="C335" s="2"/>
      <c r="D335" s="2"/>
      <c r="E335" s="2"/>
      <c r="F335" s="2"/>
      <c r="G335" s="43"/>
      <c r="H335" s="2"/>
      <c r="I335" s="2"/>
      <c r="J335" s="2"/>
      <c r="K335" s="2"/>
      <c r="L335" s="2"/>
      <c r="M335" s="2"/>
      <c r="N335" s="2"/>
      <c r="O335" s="2"/>
      <c r="P335" s="2"/>
      <c r="Q335" s="2"/>
      <c r="R335" s="2"/>
      <c r="S335" s="2"/>
      <c r="T335" s="2"/>
      <c r="U335" s="2"/>
      <c r="V335" s="2"/>
      <c r="W335" s="2"/>
      <c r="X335" s="2"/>
      <c r="Y335" s="2"/>
      <c r="Z335" s="2"/>
      <c r="AA335" s="2"/>
      <c r="AB335" s="2"/>
    </row>
    <row r="336" spans="1:28" ht="13">
      <c r="A336" s="2"/>
      <c r="B336" s="2"/>
      <c r="C336" s="2"/>
      <c r="D336" s="2"/>
      <c r="E336" s="2"/>
      <c r="F336" s="2"/>
      <c r="G336" s="43"/>
      <c r="H336" s="2"/>
      <c r="I336" s="2"/>
      <c r="J336" s="2"/>
      <c r="K336" s="2"/>
      <c r="L336" s="2"/>
      <c r="M336" s="2"/>
      <c r="N336" s="2"/>
      <c r="O336" s="2"/>
      <c r="P336" s="2"/>
      <c r="Q336" s="2"/>
      <c r="R336" s="2"/>
      <c r="S336" s="2"/>
      <c r="T336" s="2"/>
      <c r="U336" s="2"/>
      <c r="V336" s="2"/>
      <c r="W336" s="2"/>
      <c r="X336" s="2"/>
      <c r="Y336" s="2"/>
      <c r="Z336" s="2"/>
      <c r="AA336" s="2"/>
      <c r="AB336" s="2"/>
    </row>
    <row r="337" spans="1:28" ht="13">
      <c r="A337" s="2"/>
      <c r="B337" s="2"/>
      <c r="C337" s="2"/>
      <c r="D337" s="2"/>
      <c r="E337" s="2"/>
      <c r="F337" s="2"/>
      <c r="G337" s="43"/>
      <c r="H337" s="2"/>
      <c r="I337" s="2"/>
      <c r="J337" s="2"/>
      <c r="K337" s="2"/>
      <c r="L337" s="2"/>
      <c r="M337" s="2"/>
      <c r="N337" s="2"/>
      <c r="O337" s="2"/>
      <c r="P337" s="2"/>
      <c r="Q337" s="2"/>
      <c r="R337" s="2"/>
      <c r="S337" s="2"/>
      <c r="T337" s="2"/>
      <c r="U337" s="2"/>
      <c r="V337" s="2"/>
      <c r="W337" s="2"/>
      <c r="X337" s="2"/>
      <c r="Y337" s="2"/>
      <c r="Z337" s="2"/>
      <c r="AA337" s="2"/>
      <c r="AB337" s="2"/>
    </row>
    <row r="338" spans="1:28" ht="13">
      <c r="A338" s="2"/>
      <c r="B338" s="2"/>
      <c r="C338" s="2"/>
      <c r="D338" s="2"/>
      <c r="E338" s="2"/>
      <c r="F338" s="2"/>
      <c r="G338" s="43"/>
      <c r="H338" s="2"/>
      <c r="I338" s="2"/>
      <c r="J338" s="2"/>
      <c r="K338" s="2"/>
      <c r="L338" s="2"/>
      <c r="M338" s="2"/>
      <c r="N338" s="2"/>
      <c r="O338" s="2"/>
      <c r="P338" s="2"/>
      <c r="Q338" s="2"/>
      <c r="R338" s="2"/>
      <c r="S338" s="2"/>
      <c r="T338" s="2"/>
      <c r="U338" s="2"/>
      <c r="V338" s="2"/>
      <c r="W338" s="2"/>
      <c r="X338" s="2"/>
      <c r="Y338" s="2"/>
      <c r="Z338" s="2"/>
      <c r="AA338" s="2"/>
      <c r="AB338" s="2"/>
    </row>
    <row r="339" spans="1:28" ht="13">
      <c r="A339" s="2"/>
      <c r="B339" s="2"/>
      <c r="C339" s="2"/>
      <c r="D339" s="2"/>
      <c r="E339" s="2"/>
      <c r="F339" s="2"/>
      <c r="G339" s="43"/>
      <c r="H339" s="2"/>
      <c r="I339" s="2"/>
      <c r="J339" s="2"/>
      <c r="K339" s="2"/>
      <c r="L339" s="2"/>
      <c r="M339" s="2"/>
      <c r="N339" s="2"/>
      <c r="O339" s="2"/>
      <c r="P339" s="2"/>
      <c r="Q339" s="2"/>
      <c r="R339" s="2"/>
      <c r="S339" s="2"/>
      <c r="T339" s="2"/>
      <c r="U339" s="2"/>
      <c r="V339" s="2"/>
      <c r="W339" s="2"/>
      <c r="X339" s="2"/>
      <c r="Y339" s="2"/>
      <c r="Z339" s="2"/>
      <c r="AA339" s="2"/>
      <c r="AB339" s="2"/>
    </row>
    <row r="340" spans="1:28" ht="13">
      <c r="A340" s="2"/>
      <c r="B340" s="2"/>
      <c r="C340" s="2"/>
      <c r="D340" s="2"/>
      <c r="E340" s="2"/>
      <c r="F340" s="2"/>
      <c r="G340" s="43"/>
      <c r="H340" s="2"/>
      <c r="I340" s="2"/>
      <c r="J340" s="2"/>
      <c r="K340" s="2"/>
      <c r="L340" s="2"/>
      <c r="M340" s="2"/>
      <c r="N340" s="2"/>
      <c r="O340" s="2"/>
      <c r="P340" s="2"/>
      <c r="Q340" s="2"/>
      <c r="R340" s="2"/>
      <c r="S340" s="2"/>
      <c r="T340" s="2"/>
      <c r="U340" s="2"/>
      <c r="V340" s="2"/>
      <c r="W340" s="2"/>
      <c r="X340" s="2"/>
      <c r="Y340" s="2"/>
      <c r="Z340" s="2"/>
      <c r="AA340" s="2"/>
      <c r="AB340" s="2"/>
    </row>
    <row r="341" spans="1:28" ht="13">
      <c r="A341" s="2"/>
      <c r="B341" s="2"/>
      <c r="C341" s="2"/>
      <c r="D341" s="2"/>
      <c r="E341" s="2"/>
      <c r="F341" s="2"/>
      <c r="G341" s="43"/>
      <c r="H341" s="2"/>
      <c r="I341" s="2"/>
      <c r="J341" s="2"/>
      <c r="K341" s="2"/>
      <c r="L341" s="2"/>
      <c r="M341" s="2"/>
      <c r="N341" s="2"/>
      <c r="O341" s="2"/>
      <c r="P341" s="2"/>
      <c r="Q341" s="2"/>
      <c r="R341" s="2"/>
      <c r="S341" s="2"/>
      <c r="T341" s="2"/>
      <c r="U341" s="2"/>
      <c r="V341" s="2"/>
      <c r="W341" s="2"/>
      <c r="X341" s="2"/>
      <c r="Y341" s="2"/>
      <c r="Z341" s="2"/>
      <c r="AA341" s="2"/>
      <c r="AB341" s="2"/>
    </row>
    <row r="342" spans="1:28" ht="13">
      <c r="A342" s="2"/>
      <c r="B342" s="2"/>
      <c r="C342" s="2"/>
      <c r="D342" s="2"/>
      <c r="E342" s="2"/>
      <c r="F342" s="2"/>
      <c r="G342" s="43"/>
      <c r="H342" s="2"/>
      <c r="I342" s="2"/>
      <c r="J342" s="2"/>
      <c r="K342" s="2"/>
      <c r="L342" s="2"/>
      <c r="M342" s="2"/>
      <c r="N342" s="2"/>
      <c r="O342" s="2"/>
      <c r="P342" s="2"/>
      <c r="Q342" s="2"/>
      <c r="R342" s="2"/>
      <c r="S342" s="2"/>
      <c r="T342" s="2"/>
      <c r="U342" s="2"/>
      <c r="V342" s="2"/>
      <c r="W342" s="2"/>
      <c r="X342" s="2"/>
      <c r="Y342" s="2"/>
      <c r="Z342" s="2"/>
      <c r="AA342" s="2"/>
      <c r="AB342" s="2"/>
    </row>
    <row r="343" spans="1:28" ht="13">
      <c r="A343" s="2"/>
      <c r="B343" s="2"/>
      <c r="C343" s="2"/>
      <c r="D343" s="2"/>
      <c r="E343" s="2"/>
      <c r="F343" s="2"/>
      <c r="G343" s="43"/>
      <c r="H343" s="2"/>
      <c r="I343" s="2"/>
      <c r="J343" s="2"/>
      <c r="K343" s="2"/>
      <c r="L343" s="2"/>
      <c r="M343" s="2"/>
      <c r="N343" s="2"/>
      <c r="O343" s="2"/>
      <c r="P343" s="2"/>
      <c r="Q343" s="2"/>
      <c r="R343" s="2"/>
      <c r="S343" s="2"/>
      <c r="T343" s="2"/>
      <c r="U343" s="2"/>
      <c r="V343" s="2"/>
      <c r="W343" s="2"/>
      <c r="X343" s="2"/>
      <c r="Y343" s="2"/>
      <c r="Z343" s="2"/>
      <c r="AA343" s="2"/>
      <c r="AB343" s="2"/>
    </row>
    <row r="344" spans="1:28" ht="13">
      <c r="A344" s="2"/>
      <c r="B344" s="2"/>
      <c r="C344" s="2"/>
      <c r="D344" s="2"/>
      <c r="E344" s="2"/>
      <c r="F344" s="2"/>
      <c r="G344" s="43"/>
      <c r="H344" s="2"/>
      <c r="I344" s="2"/>
      <c r="J344" s="2"/>
      <c r="K344" s="2"/>
      <c r="L344" s="2"/>
      <c r="M344" s="2"/>
      <c r="N344" s="2"/>
      <c r="O344" s="2"/>
      <c r="P344" s="2"/>
      <c r="Q344" s="2"/>
      <c r="R344" s="2"/>
      <c r="S344" s="2"/>
      <c r="T344" s="2"/>
      <c r="U344" s="2"/>
      <c r="V344" s="2"/>
      <c r="W344" s="2"/>
      <c r="X344" s="2"/>
      <c r="Y344" s="2"/>
      <c r="Z344" s="2"/>
      <c r="AA344" s="2"/>
      <c r="AB344" s="2"/>
    </row>
    <row r="345" spans="1:28" ht="13">
      <c r="A345" s="2"/>
      <c r="B345" s="2"/>
      <c r="C345" s="2"/>
      <c r="D345" s="2"/>
      <c r="E345" s="2"/>
      <c r="F345" s="2"/>
      <c r="G345" s="43"/>
      <c r="H345" s="2"/>
      <c r="I345" s="2"/>
      <c r="J345" s="2"/>
      <c r="K345" s="2"/>
      <c r="L345" s="2"/>
      <c r="M345" s="2"/>
      <c r="N345" s="2"/>
      <c r="O345" s="2"/>
      <c r="P345" s="2"/>
      <c r="Q345" s="2"/>
      <c r="R345" s="2"/>
      <c r="S345" s="2"/>
      <c r="T345" s="2"/>
      <c r="U345" s="2"/>
      <c r="V345" s="2"/>
      <c r="W345" s="2"/>
      <c r="X345" s="2"/>
      <c r="Y345" s="2"/>
      <c r="Z345" s="2"/>
      <c r="AA345" s="2"/>
      <c r="AB345" s="2"/>
    </row>
    <row r="346" spans="1:28" ht="13">
      <c r="A346" s="2"/>
      <c r="B346" s="2"/>
      <c r="C346" s="2"/>
      <c r="D346" s="2"/>
      <c r="E346" s="2"/>
      <c r="F346" s="2"/>
      <c r="G346" s="43"/>
      <c r="H346" s="2"/>
      <c r="I346" s="2"/>
      <c r="J346" s="2"/>
      <c r="K346" s="2"/>
      <c r="L346" s="2"/>
      <c r="M346" s="2"/>
      <c r="N346" s="2"/>
      <c r="O346" s="2"/>
      <c r="P346" s="2"/>
      <c r="Q346" s="2"/>
      <c r="R346" s="2"/>
      <c r="S346" s="2"/>
      <c r="T346" s="2"/>
      <c r="U346" s="2"/>
      <c r="V346" s="2"/>
      <c r="W346" s="2"/>
      <c r="X346" s="2"/>
      <c r="Y346" s="2"/>
      <c r="Z346" s="2"/>
      <c r="AA346" s="2"/>
      <c r="AB346" s="2"/>
    </row>
    <row r="347" spans="1:28" ht="13">
      <c r="A347" s="2"/>
      <c r="B347" s="2"/>
      <c r="C347" s="2"/>
      <c r="D347" s="2"/>
      <c r="E347" s="2"/>
      <c r="F347" s="2"/>
      <c r="G347" s="43"/>
      <c r="H347" s="2"/>
      <c r="I347" s="2"/>
      <c r="J347" s="2"/>
      <c r="K347" s="2"/>
      <c r="L347" s="2"/>
      <c r="M347" s="2"/>
      <c r="N347" s="2"/>
      <c r="O347" s="2"/>
      <c r="P347" s="2"/>
      <c r="Q347" s="2"/>
      <c r="R347" s="2"/>
      <c r="S347" s="2"/>
      <c r="T347" s="2"/>
      <c r="U347" s="2"/>
      <c r="V347" s="2"/>
      <c r="W347" s="2"/>
      <c r="X347" s="2"/>
      <c r="Y347" s="2"/>
      <c r="Z347" s="2"/>
      <c r="AA347" s="2"/>
      <c r="AB347" s="2"/>
    </row>
    <row r="348" spans="1:28" ht="13">
      <c r="A348" s="2"/>
      <c r="B348" s="2"/>
      <c r="C348" s="2"/>
      <c r="D348" s="2"/>
      <c r="E348" s="2"/>
      <c r="F348" s="2"/>
      <c r="G348" s="43"/>
      <c r="H348" s="2"/>
      <c r="I348" s="2"/>
      <c r="J348" s="2"/>
      <c r="K348" s="2"/>
      <c r="L348" s="2"/>
      <c r="M348" s="2"/>
      <c r="N348" s="2"/>
      <c r="O348" s="2"/>
      <c r="P348" s="2"/>
      <c r="Q348" s="2"/>
      <c r="R348" s="2"/>
      <c r="S348" s="2"/>
      <c r="T348" s="2"/>
      <c r="U348" s="2"/>
      <c r="V348" s="2"/>
      <c r="W348" s="2"/>
      <c r="X348" s="2"/>
      <c r="Y348" s="2"/>
      <c r="Z348" s="2"/>
      <c r="AA348" s="2"/>
      <c r="AB348" s="2"/>
    </row>
    <row r="349" spans="1:28" ht="13">
      <c r="A349" s="2"/>
      <c r="B349" s="2"/>
      <c r="C349" s="2"/>
      <c r="D349" s="2"/>
      <c r="E349" s="2"/>
      <c r="F349" s="2"/>
      <c r="G349" s="43"/>
      <c r="H349" s="2"/>
      <c r="I349" s="2"/>
      <c r="J349" s="2"/>
      <c r="K349" s="2"/>
      <c r="L349" s="2"/>
      <c r="M349" s="2"/>
      <c r="N349" s="2"/>
      <c r="O349" s="2"/>
      <c r="P349" s="2"/>
      <c r="Q349" s="2"/>
      <c r="R349" s="2"/>
      <c r="S349" s="2"/>
      <c r="T349" s="2"/>
      <c r="U349" s="2"/>
      <c r="V349" s="2"/>
      <c r="W349" s="2"/>
      <c r="X349" s="2"/>
      <c r="Y349" s="2"/>
      <c r="Z349" s="2"/>
      <c r="AA349" s="2"/>
      <c r="AB349" s="2"/>
    </row>
    <row r="350" spans="1:28" ht="13">
      <c r="A350" s="2"/>
      <c r="B350" s="2"/>
      <c r="C350" s="2"/>
      <c r="D350" s="2"/>
      <c r="E350" s="2"/>
      <c r="F350" s="2"/>
      <c r="G350" s="43"/>
      <c r="H350" s="2"/>
      <c r="I350" s="2"/>
      <c r="J350" s="2"/>
      <c r="K350" s="2"/>
      <c r="L350" s="2"/>
      <c r="M350" s="2"/>
      <c r="N350" s="2"/>
      <c r="O350" s="2"/>
      <c r="P350" s="2"/>
      <c r="Q350" s="2"/>
      <c r="R350" s="2"/>
      <c r="S350" s="2"/>
      <c r="T350" s="2"/>
      <c r="U350" s="2"/>
      <c r="V350" s="2"/>
      <c r="W350" s="2"/>
      <c r="X350" s="2"/>
      <c r="Y350" s="2"/>
      <c r="Z350" s="2"/>
      <c r="AA350" s="2"/>
      <c r="AB350" s="2"/>
    </row>
    <row r="351" spans="1:28" ht="13">
      <c r="A351" s="2"/>
      <c r="B351" s="2"/>
      <c r="C351" s="2"/>
      <c r="D351" s="2"/>
      <c r="E351" s="2"/>
      <c r="F351" s="2"/>
      <c r="G351" s="43"/>
      <c r="H351" s="2"/>
      <c r="I351" s="2"/>
      <c r="J351" s="2"/>
      <c r="K351" s="2"/>
      <c r="L351" s="2"/>
      <c r="M351" s="2"/>
      <c r="N351" s="2"/>
      <c r="O351" s="2"/>
      <c r="P351" s="2"/>
      <c r="Q351" s="2"/>
      <c r="R351" s="2"/>
      <c r="S351" s="2"/>
      <c r="T351" s="2"/>
      <c r="U351" s="2"/>
      <c r="V351" s="2"/>
      <c r="W351" s="2"/>
      <c r="X351" s="2"/>
      <c r="Y351" s="2"/>
      <c r="Z351" s="2"/>
      <c r="AA351" s="2"/>
      <c r="AB351" s="2"/>
    </row>
    <row r="352" spans="1:28" ht="13">
      <c r="A352" s="2"/>
      <c r="B352" s="2"/>
      <c r="C352" s="2"/>
      <c r="D352" s="2"/>
      <c r="E352" s="2"/>
      <c r="F352" s="2"/>
      <c r="G352" s="43"/>
      <c r="H352" s="2"/>
      <c r="I352" s="2"/>
      <c r="J352" s="2"/>
      <c r="K352" s="2"/>
      <c r="L352" s="2"/>
      <c r="M352" s="2"/>
      <c r="N352" s="2"/>
      <c r="O352" s="2"/>
      <c r="P352" s="2"/>
      <c r="Q352" s="2"/>
      <c r="R352" s="2"/>
      <c r="S352" s="2"/>
      <c r="T352" s="2"/>
      <c r="U352" s="2"/>
      <c r="V352" s="2"/>
      <c r="W352" s="2"/>
      <c r="X352" s="2"/>
      <c r="Y352" s="2"/>
      <c r="Z352" s="2"/>
      <c r="AA352" s="2"/>
      <c r="AB352" s="2"/>
    </row>
    <row r="353" spans="1:28" ht="13">
      <c r="A353" s="2"/>
      <c r="B353" s="2"/>
      <c r="C353" s="2"/>
      <c r="D353" s="2"/>
      <c r="E353" s="2"/>
      <c r="F353" s="2"/>
      <c r="G353" s="43"/>
      <c r="H353" s="2"/>
      <c r="I353" s="2"/>
      <c r="J353" s="2"/>
      <c r="K353" s="2"/>
      <c r="L353" s="2"/>
      <c r="M353" s="2"/>
      <c r="N353" s="2"/>
      <c r="O353" s="2"/>
      <c r="P353" s="2"/>
      <c r="Q353" s="2"/>
      <c r="R353" s="2"/>
      <c r="S353" s="2"/>
      <c r="T353" s="2"/>
      <c r="U353" s="2"/>
      <c r="V353" s="2"/>
      <c r="W353" s="2"/>
      <c r="X353" s="2"/>
      <c r="Y353" s="2"/>
      <c r="Z353" s="2"/>
      <c r="AA353" s="2"/>
      <c r="AB353" s="2"/>
    </row>
    <row r="354" spans="1:28" ht="13">
      <c r="A354" s="2"/>
      <c r="B354" s="2"/>
      <c r="C354" s="2"/>
      <c r="D354" s="2"/>
      <c r="E354" s="2"/>
      <c r="F354" s="2"/>
      <c r="G354" s="43"/>
      <c r="H354" s="2"/>
      <c r="I354" s="2"/>
      <c r="J354" s="2"/>
      <c r="K354" s="2"/>
      <c r="L354" s="2"/>
      <c r="M354" s="2"/>
      <c r="N354" s="2"/>
      <c r="O354" s="2"/>
      <c r="P354" s="2"/>
      <c r="Q354" s="2"/>
      <c r="R354" s="2"/>
      <c r="S354" s="2"/>
      <c r="T354" s="2"/>
      <c r="U354" s="2"/>
      <c r="V354" s="2"/>
      <c r="W354" s="2"/>
      <c r="X354" s="2"/>
      <c r="Y354" s="2"/>
      <c r="Z354" s="2"/>
      <c r="AA354" s="2"/>
      <c r="AB354" s="2"/>
    </row>
    <row r="355" spans="1:28" ht="13">
      <c r="A355" s="2"/>
      <c r="B355" s="2"/>
      <c r="C355" s="2"/>
      <c r="D355" s="2"/>
      <c r="E355" s="2"/>
      <c r="F355" s="2"/>
      <c r="G355" s="43"/>
      <c r="H355" s="2"/>
      <c r="I355" s="2"/>
      <c r="J355" s="2"/>
      <c r="K355" s="2"/>
      <c r="L355" s="2"/>
      <c r="M355" s="2"/>
      <c r="N355" s="2"/>
      <c r="O355" s="2"/>
      <c r="P355" s="2"/>
      <c r="Q355" s="2"/>
      <c r="R355" s="2"/>
      <c r="S355" s="2"/>
      <c r="T355" s="2"/>
      <c r="U355" s="2"/>
      <c r="V355" s="2"/>
      <c r="W355" s="2"/>
      <c r="X355" s="2"/>
      <c r="Y355" s="2"/>
      <c r="Z355" s="2"/>
      <c r="AA355" s="2"/>
      <c r="AB355" s="2"/>
    </row>
    <row r="356" spans="1:28" ht="13">
      <c r="A356" s="2"/>
      <c r="B356" s="2"/>
      <c r="C356" s="2"/>
      <c r="D356" s="2"/>
      <c r="E356" s="2"/>
      <c r="F356" s="2"/>
      <c r="G356" s="43"/>
      <c r="H356" s="2"/>
      <c r="I356" s="2"/>
      <c r="J356" s="2"/>
      <c r="K356" s="2"/>
      <c r="L356" s="2"/>
      <c r="M356" s="2"/>
      <c r="N356" s="2"/>
      <c r="O356" s="2"/>
      <c r="P356" s="2"/>
      <c r="Q356" s="2"/>
      <c r="R356" s="2"/>
      <c r="S356" s="2"/>
      <c r="T356" s="2"/>
      <c r="U356" s="2"/>
      <c r="V356" s="2"/>
      <c r="W356" s="2"/>
      <c r="X356" s="2"/>
      <c r="Y356" s="2"/>
      <c r="Z356" s="2"/>
      <c r="AA356" s="2"/>
      <c r="AB356" s="2"/>
    </row>
    <row r="357" spans="1:28" ht="13">
      <c r="A357" s="2"/>
      <c r="B357" s="2"/>
      <c r="C357" s="2"/>
      <c r="D357" s="2"/>
      <c r="E357" s="2"/>
      <c r="F357" s="2"/>
      <c r="G357" s="43"/>
      <c r="H357" s="2"/>
      <c r="I357" s="2"/>
      <c r="J357" s="2"/>
      <c r="K357" s="2"/>
      <c r="L357" s="2"/>
      <c r="M357" s="2"/>
      <c r="N357" s="2"/>
      <c r="O357" s="2"/>
      <c r="P357" s="2"/>
      <c r="Q357" s="2"/>
      <c r="R357" s="2"/>
      <c r="S357" s="2"/>
      <c r="T357" s="2"/>
      <c r="U357" s="2"/>
      <c r="V357" s="2"/>
      <c r="W357" s="2"/>
      <c r="X357" s="2"/>
      <c r="Y357" s="2"/>
      <c r="Z357" s="2"/>
      <c r="AA357" s="2"/>
      <c r="AB357" s="2"/>
    </row>
    <row r="358" spans="1:28" ht="13">
      <c r="A358" s="2"/>
      <c r="B358" s="2"/>
      <c r="C358" s="2"/>
      <c r="D358" s="2"/>
      <c r="E358" s="2"/>
      <c r="F358" s="2"/>
      <c r="G358" s="43"/>
      <c r="H358" s="2"/>
      <c r="I358" s="2"/>
      <c r="J358" s="2"/>
      <c r="K358" s="2"/>
      <c r="L358" s="2"/>
      <c r="M358" s="2"/>
      <c r="N358" s="2"/>
      <c r="O358" s="2"/>
      <c r="P358" s="2"/>
      <c r="Q358" s="2"/>
      <c r="R358" s="2"/>
      <c r="S358" s="2"/>
      <c r="T358" s="2"/>
      <c r="U358" s="2"/>
      <c r="V358" s="2"/>
      <c r="W358" s="2"/>
      <c r="X358" s="2"/>
      <c r="Y358" s="2"/>
      <c r="Z358" s="2"/>
      <c r="AA358" s="2"/>
      <c r="AB358" s="2"/>
    </row>
    <row r="359" spans="1:28" ht="13">
      <c r="A359" s="2"/>
      <c r="B359" s="2"/>
      <c r="C359" s="2"/>
      <c r="D359" s="2"/>
      <c r="E359" s="2"/>
      <c r="F359" s="2"/>
      <c r="G359" s="43"/>
      <c r="H359" s="2"/>
      <c r="I359" s="2"/>
      <c r="J359" s="2"/>
      <c r="K359" s="2"/>
      <c r="L359" s="2"/>
      <c r="M359" s="2"/>
      <c r="N359" s="2"/>
      <c r="O359" s="2"/>
      <c r="P359" s="2"/>
      <c r="Q359" s="2"/>
      <c r="R359" s="2"/>
      <c r="S359" s="2"/>
      <c r="T359" s="2"/>
      <c r="U359" s="2"/>
      <c r="V359" s="2"/>
      <c r="W359" s="2"/>
      <c r="X359" s="2"/>
      <c r="Y359" s="2"/>
      <c r="Z359" s="2"/>
      <c r="AA359" s="2"/>
      <c r="AB359" s="2"/>
    </row>
    <row r="360" spans="1:28" ht="13">
      <c r="A360" s="2"/>
      <c r="B360" s="2"/>
      <c r="C360" s="2"/>
      <c r="D360" s="2"/>
      <c r="E360" s="2"/>
      <c r="F360" s="2"/>
      <c r="G360" s="43"/>
      <c r="H360" s="2"/>
      <c r="I360" s="2"/>
      <c r="J360" s="2"/>
      <c r="K360" s="2"/>
      <c r="L360" s="2"/>
      <c r="M360" s="2"/>
      <c r="N360" s="2"/>
      <c r="O360" s="2"/>
      <c r="P360" s="2"/>
      <c r="Q360" s="2"/>
      <c r="R360" s="2"/>
      <c r="S360" s="2"/>
      <c r="T360" s="2"/>
      <c r="U360" s="2"/>
      <c r="V360" s="2"/>
      <c r="W360" s="2"/>
      <c r="X360" s="2"/>
      <c r="Y360" s="2"/>
      <c r="Z360" s="2"/>
      <c r="AA360" s="2"/>
      <c r="AB360" s="2"/>
    </row>
    <row r="361" spans="1:28" ht="13">
      <c r="A361" s="2"/>
      <c r="B361" s="2"/>
      <c r="C361" s="2"/>
      <c r="D361" s="2"/>
      <c r="E361" s="2"/>
      <c r="F361" s="2"/>
      <c r="G361" s="43"/>
      <c r="H361" s="2"/>
      <c r="I361" s="2"/>
      <c r="J361" s="2"/>
      <c r="K361" s="2"/>
      <c r="L361" s="2"/>
      <c r="M361" s="2"/>
      <c r="N361" s="2"/>
      <c r="O361" s="2"/>
      <c r="P361" s="2"/>
      <c r="Q361" s="2"/>
      <c r="R361" s="2"/>
      <c r="S361" s="2"/>
      <c r="T361" s="2"/>
      <c r="U361" s="2"/>
      <c r="V361" s="2"/>
      <c r="W361" s="2"/>
      <c r="X361" s="2"/>
      <c r="Y361" s="2"/>
      <c r="Z361" s="2"/>
      <c r="AA361" s="2"/>
      <c r="AB361" s="2"/>
    </row>
    <row r="362" spans="1:28" ht="13">
      <c r="A362" s="2"/>
      <c r="B362" s="2"/>
      <c r="C362" s="2"/>
      <c r="D362" s="2"/>
      <c r="E362" s="2"/>
      <c r="F362" s="2"/>
      <c r="G362" s="43"/>
      <c r="H362" s="2"/>
      <c r="I362" s="2"/>
      <c r="J362" s="2"/>
      <c r="K362" s="2"/>
      <c r="L362" s="2"/>
      <c r="M362" s="2"/>
      <c r="N362" s="2"/>
      <c r="O362" s="2"/>
      <c r="P362" s="2"/>
      <c r="Q362" s="2"/>
      <c r="R362" s="2"/>
      <c r="S362" s="2"/>
      <c r="T362" s="2"/>
      <c r="U362" s="2"/>
      <c r="V362" s="2"/>
      <c r="W362" s="2"/>
      <c r="X362" s="2"/>
      <c r="Y362" s="2"/>
      <c r="Z362" s="2"/>
      <c r="AA362" s="2"/>
      <c r="AB362" s="2"/>
    </row>
    <row r="363" spans="1:28" ht="13">
      <c r="A363" s="2"/>
      <c r="B363" s="2"/>
      <c r="C363" s="2"/>
      <c r="D363" s="2"/>
      <c r="E363" s="2"/>
      <c r="F363" s="2"/>
      <c r="G363" s="43"/>
      <c r="H363" s="2"/>
      <c r="I363" s="2"/>
      <c r="J363" s="2"/>
      <c r="K363" s="2"/>
      <c r="L363" s="2"/>
      <c r="M363" s="2"/>
      <c r="N363" s="2"/>
      <c r="O363" s="2"/>
      <c r="P363" s="2"/>
      <c r="Q363" s="2"/>
      <c r="R363" s="2"/>
      <c r="S363" s="2"/>
      <c r="T363" s="2"/>
      <c r="U363" s="2"/>
      <c r="V363" s="2"/>
      <c r="W363" s="2"/>
      <c r="X363" s="2"/>
      <c r="Y363" s="2"/>
      <c r="Z363" s="2"/>
      <c r="AA363" s="2"/>
      <c r="AB363" s="2"/>
    </row>
    <row r="364" spans="1:28" ht="13">
      <c r="A364" s="2"/>
      <c r="B364" s="2"/>
      <c r="C364" s="2"/>
      <c r="D364" s="2"/>
      <c r="E364" s="2"/>
      <c r="F364" s="2"/>
      <c r="G364" s="43"/>
      <c r="H364" s="2"/>
      <c r="I364" s="2"/>
      <c r="J364" s="2"/>
      <c r="K364" s="2"/>
      <c r="L364" s="2"/>
      <c r="M364" s="2"/>
      <c r="N364" s="2"/>
      <c r="O364" s="2"/>
      <c r="P364" s="2"/>
      <c r="Q364" s="2"/>
      <c r="R364" s="2"/>
      <c r="S364" s="2"/>
      <c r="T364" s="2"/>
      <c r="U364" s="2"/>
      <c r="V364" s="2"/>
      <c r="W364" s="2"/>
      <c r="X364" s="2"/>
      <c r="Y364" s="2"/>
      <c r="Z364" s="2"/>
      <c r="AA364" s="2"/>
      <c r="AB364" s="2"/>
    </row>
    <row r="365" spans="1:28" ht="13">
      <c r="A365" s="2"/>
      <c r="B365" s="2"/>
      <c r="C365" s="2"/>
      <c r="D365" s="2"/>
      <c r="E365" s="2"/>
      <c r="F365" s="2"/>
      <c r="G365" s="43"/>
      <c r="H365" s="2"/>
      <c r="I365" s="2"/>
      <c r="J365" s="2"/>
      <c r="K365" s="2"/>
      <c r="L365" s="2"/>
      <c r="M365" s="2"/>
      <c r="N365" s="2"/>
      <c r="O365" s="2"/>
      <c r="P365" s="2"/>
      <c r="Q365" s="2"/>
      <c r="R365" s="2"/>
      <c r="S365" s="2"/>
      <c r="T365" s="2"/>
      <c r="U365" s="2"/>
      <c r="V365" s="2"/>
      <c r="W365" s="2"/>
      <c r="X365" s="2"/>
      <c r="Y365" s="2"/>
      <c r="Z365" s="2"/>
      <c r="AA365" s="2"/>
      <c r="AB365" s="2"/>
    </row>
    <row r="366" spans="1:28" ht="13">
      <c r="A366" s="2"/>
      <c r="B366" s="2"/>
      <c r="C366" s="2"/>
      <c r="D366" s="2"/>
      <c r="E366" s="2"/>
      <c r="F366" s="2"/>
      <c r="G366" s="43"/>
      <c r="H366" s="2"/>
      <c r="I366" s="2"/>
      <c r="J366" s="2"/>
      <c r="K366" s="2"/>
      <c r="L366" s="2"/>
      <c r="M366" s="2"/>
      <c r="N366" s="2"/>
      <c r="O366" s="2"/>
      <c r="P366" s="2"/>
      <c r="Q366" s="2"/>
      <c r="R366" s="2"/>
      <c r="S366" s="2"/>
      <c r="T366" s="2"/>
      <c r="U366" s="2"/>
      <c r="V366" s="2"/>
      <c r="W366" s="2"/>
      <c r="X366" s="2"/>
      <c r="Y366" s="2"/>
      <c r="Z366" s="2"/>
      <c r="AA366" s="2"/>
      <c r="AB366" s="2"/>
    </row>
    <row r="367" spans="1:28" ht="13">
      <c r="A367" s="2"/>
      <c r="B367" s="2"/>
      <c r="C367" s="2"/>
      <c r="D367" s="2"/>
      <c r="E367" s="2"/>
      <c r="F367" s="2"/>
      <c r="G367" s="43"/>
      <c r="H367" s="2"/>
      <c r="I367" s="2"/>
      <c r="J367" s="2"/>
      <c r="K367" s="2"/>
      <c r="L367" s="2"/>
      <c r="M367" s="2"/>
      <c r="N367" s="2"/>
      <c r="O367" s="2"/>
      <c r="P367" s="2"/>
      <c r="Q367" s="2"/>
      <c r="R367" s="2"/>
      <c r="S367" s="2"/>
      <c r="T367" s="2"/>
      <c r="U367" s="2"/>
      <c r="V367" s="2"/>
      <c r="W367" s="2"/>
      <c r="X367" s="2"/>
      <c r="Y367" s="2"/>
      <c r="Z367" s="2"/>
      <c r="AA367" s="2"/>
      <c r="AB367" s="2"/>
    </row>
    <row r="368" spans="1:28" ht="13">
      <c r="A368" s="2"/>
      <c r="B368" s="2"/>
      <c r="C368" s="2"/>
      <c r="D368" s="2"/>
      <c r="E368" s="2"/>
      <c r="F368" s="2"/>
      <c r="G368" s="43"/>
      <c r="H368" s="2"/>
      <c r="I368" s="2"/>
      <c r="J368" s="2"/>
      <c r="K368" s="2"/>
      <c r="L368" s="2"/>
      <c r="M368" s="2"/>
      <c r="N368" s="2"/>
      <c r="O368" s="2"/>
      <c r="P368" s="2"/>
      <c r="Q368" s="2"/>
      <c r="R368" s="2"/>
      <c r="S368" s="2"/>
      <c r="T368" s="2"/>
      <c r="U368" s="2"/>
      <c r="V368" s="2"/>
      <c r="W368" s="2"/>
      <c r="X368" s="2"/>
      <c r="Y368" s="2"/>
      <c r="Z368" s="2"/>
      <c r="AA368" s="2"/>
      <c r="AB368" s="2"/>
    </row>
    <row r="369" spans="1:28" ht="13">
      <c r="A369" s="2"/>
      <c r="B369" s="2"/>
      <c r="C369" s="2"/>
      <c r="D369" s="2"/>
      <c r="E369" s="2"/>
      <c r="F369" s="2"/>
      <c r="G369" s="43"/>
      <c r="H369" s="2"/>
      <c r="I369" s="2"/>
      <c r="J369" s="2"/>
      <c r="K369" s="2"/>
      <c r="L369" s="2"/>
      <c r="M369" s="2"/>
      <c r="N369" s="2"/>
      <c r="O369" s="2"/>
      <c r="P369" s="2"/>
      <c r="Q369" s="2"/>
      <c r="R369" s="2"/>
      <c r="S369" s="2"/>
      <c r="T369" s="2"/>
      <c r="U369" s="2"/>
      <c r="V369" s="2"/>
      <c r="W369" s="2"/>
      <c r="X369" s="2"/>
      <c r="Y369" s="2"/>
      <c r="Z369" s="2"/>
      <c r="AA369" s="2"/>
      <c r="AB369" s="2"/>
    </row>
    <row r="370" spans="1:28" ht="13">
      <c r="A370" s="2"/>
      <c r="B370" s="2"/>
      <c r="C370" s="2"/>
      <c r="D370" s="2"/>
      <c r="E370" s="2"/>
      <c r="F370" s="2"/>
      <c r="G370" s="43"/>
      <c r="H370" s="2"/>
      <c r="I370" s="2"/>
      <c r="J370" s="2"/>
      <c r="K370" s="2"/>
      <c r="L370" s="2"/>
      <c r="M370" s="2"/>
      <c r="N370" s="2"/>
      <c r="O370" s="2"/>
      <c r="P370" s="2"/>
      <c r="Q370" s="2"/>
      <c r="R370" s="2"/>
      <c r="S370" s="2"/>
      <c r="T370" s="2"/>
      <c r="U370" s="2"/>
      <c r="V370" s="2"/>
      <c r="W370" s="2"/>
      <c r="X370" s="2"/>
      <c r="Y370" s="2"/>
      <c r="Z370" s="2"/>
      <c r="AA370" s="2"/>
      <c r="AB370" s="2"/>
    </row>
    <row r="371" spans="1:28" ht="13">
      <c r="A371" s="2"/>
      <c r="B371" s="2"/>
      <c r="C371" s="2"/>
      <c r="D371" s="2"/>
      <c r="E371" s="2"/>
      <c r="F371" s="2"/>
      <c r="G371" s="43"/>
      <c r="H371" s="2"/>
      <c r="I371" s="2"/>
      <c r="J371" s="2"/>
      <c r="K371" s="2"/>
      <c r="L371" s="2"/>
      <c r="M371" s="2"/>
      <c r="N371" s="2"/>
      <c r="O371" s="2"/>
      <c r="P371" s="2"/>
      <c r="Q371" s="2"/>
      <c r="R371" s="2"/>
      <c r="S371" s="2"/>
      <c r="T371" s="2"/>
      <c r="U371" s="2"/>
      <c r="V371" s="2"/>
      <c r="W371" s="2"/>
      <c r="X371" s="2"/>
      <c r="Y371" s="2"/>
      <c r="Z371" s="2"/>
      <c r="AA371" s="2"/>
      <c r="AB371" s="2"/>
    </row>
    <row r="372" spans="1:28" ht="13">
      <c r="A372" s="2"/>
      <c r="B372" s="2"/>
      <c r="C372" s="2"/>
      <c r="D372" s="2"/>
      <c r="E372" s="2"/>
      <c r="F372" s="2"/>
      <c r="G372" s="43"/>
      <c r="H372" s="2"/>
      <c r="I372" s="2"/>
      <c r="J372" s="2"/>
      <c r="K372" s="2"/>
      <c r="L372" s="2"/>
      <c r="M372" s="2"/>
      <c r="N372" s="2"/>
      <c r="O372" s="2"/>
      <c r="P372" s="2"/>
      <c r="Q372" s="2"/>
      <c r="R372" s="2"/>
      <c r="S372" s="2"/>
      <c r="T372" s="2"/>
      <c r="U372" s="2"/>
      <c r="V372" s="2"/>
      <c r="W372" s="2"/>
      <c r="X372" s="2"/>
      <c r="Y372" s="2"/>
      <c r="Z372" s="2"/>
      <c r="AA372" s="2"/>
      <c r="AB372" s="2"/>
    </row>
    <row r="373" spans="1:28" ht="13">
      <c r="A373" s="2"/>
      <c r="B373" s="2"/>
      <c r="C373" s="2"/>
      <c r="D373" s="2"/>
      <c r="E373" s="2"/>
      <c r="F373" s="2"/>
      <c r="G373" s="43"/>
      <c r="H373" s="2"/>
      <c r="I373" s="2"/>
      <c r="J373" s="2"/>
      <c r="K373" s="2"/>
      <c r="L373" s="2"/>
      <c r="M373" s="2"/>
      <c r="N373" s="2"/>
      <c r="O373" s="2"/>
      <c r="P373" s="2"/>
      <c r="Q373" s="2"/>
      <c r="R373" s="2"/>
      <c r="S373" s="2"/>
      <c r="T373" s="2"/>
      <c r="U373" s="2"/>
      <c r="V373" s="2"/>
      <c r="W373" s="2"/>
      <c r="X373" s="2"/>
      <c r="Y373" s="2"/>
      <c r="Z373" s="2"/>
      <c r="AA373" s="2"/>
      <c r="AB373" s="2"/>
    </row>
    <row r="374" spans="1:28" ht="13">
      <c r="A374" s="2"/>
      <c r="B374" s="2"/>
      <c r="C374" s="2"/>
      <c r="D374" s="2"/>
      <c r="E374" s="2"/>
      <c r="F374" s="2"/>
      <c r="G374" s="43"/>
      <c r="H374" s="2"/>
      <c r="I374" s="2"/>
      <c r="J374" s="2"/>
      <c r="K374" s="2"/>
      <c r="L374" s="2"/>
      <c r="M374" s="2"/>
      <c r="N374" s="2"/>
      <c r="O374" s="2"/>
      <c r="P374" s="2"/>
      <c r="Q374" s="2"/>
      <c r="R374" s="2"/>
      <c r="S374" s="2"/>
      <c r="T374" s="2"/>
      <c r="U374" s="2"/>
      <c r="V374" s="2"/>
      <c r="W374" s="2"/>
      <c r="X374" s="2"/>
      <c r="Y374" s="2"/>
      <c r="Z374" s="2"/>
      <c r="AA374" s="2"/>
      <c r="AB374" s="2"/>
    </row>
    <row r="375" spans="1:28" ht="13">
      <c r="A375" s="2"/>
      <c r="B375" s="2"/>
      <c r="C375" s="2"/>
      <c r="D375" s="2"/>
      <c r="E375" s="2"/>
      <c r="F375" s="2"/>
      <c r="G375" s="43"/>
      <c r="H375" s="2"/>
      <c r="I375" s="2"/>
      <c r="J375" s="2"/>
      <c r="K375" s="2"/>
      <c r="L375" s="2"/>
      <c r="M375" s="2"/>
      <c r="N375" s="2"/>
      <c r="O375" s="2"/>
      <c r="P375" s="2"/>
      <c r="Q375" s="2"/>
      <c r="R375" s="2"/>
      <c r="S375" s="2"/>
      <c r="T375" s="2"/>
      <c r="U375" s="2"/>
      <c r="V375" s="2"/>
      <c r="W375" s="2"/>
      <c r="X375" s="2"/>
      <c r="Y375" s="2"/>
      <c r="Z375" s="2"/>
      <c r="AA375" s="2"/>
      <c r="AB375" s="2"/>
    </row>
    <row r="376" spans="1:28" ht="13">
      <c r="A376" s="2"/>
      <c r="B376" s="2"/>
      <c r="C376" s="2"/>
      <c r="D376" s="2"/>
      <c r="E376" s="2"/>
      <c r="F376" s="2"/>
      <c r="G376" s="43"/>
      <c r="H376" s="2"/>
      <c r="I376" s="2"/>
      <c r="J376" s="2"/>
      <c r="K376" s="2"/>
      <c r="L376" s="2"/>
      <c r="M376" s="2"/>
      <c r="N376" s="2"/>
      <c r="O376" s="2"/>
      <c r="P376" s="2"/>
      <c r="Q376" s="2"/>
      <c r="R376" s="2"/>
      <c r="S376" s="2"/>
      <c r="T376" s="2"/>
      <c r="U376" s="2"/>
      <c r="V376" s="2"/>
      <c r="W376" s="2"/>
      <c r="X376" s="2"/>
      <c r="Y376" s="2"/>
      <c r="Z376" s="2"/>
      <c r="AA376" s="2"/>
      <c r="AB376" s="2"/>
    </row>
    <row r="377" spans="1:28" ht="13">
      <c r="A377" s="2"/>
      <c r="B377" s="2"/>
      <c r="C377" s="2"/>
      <c r="D377" s="2"/>
      <c r="E377" s="2"/>
      <c r="F377" s="2"/>
      <c r="G377" s="43"/>
      <c r="H377" s="2"/>
      <c r="I377" s="2"/>
      <c r="J377" s="2"/>
      <c r="K377" s="2"/>
      <c r="L377" s="2"/>
      <c r="M377" s="2"/>
      <c r="N377" s="2"/>
      <c r="O377" s="2"/>
      <c r="P377" s="2"/>
      <c r="Q377" s="2"/>
      <c r="R377" s="2"/>
      <c r="S377" s="2"/>
      <c r="T377" s="2"/>
      <c r="U377" s="2"/>
      <c r="V377" s="2"/>
      <c r="W377" s="2"/>
      <c r="X377" s="2"/>
      <c r="Y377" s="2"/>
      <c r="Z377" s="2"/>
      <c r="AA377" s="2"/>
      <c r="AB377" s="2"/>
    </row>
    <row r="378" spans="1:28" ht="13">
      <c r="A378" s="2"/>
      <c r="B378" s="2"/>
      <c r="C378" s="2"/>
      <c r="D378" s="2"/>
      <c r="E378" s="2"/>
      <c r="F378" s="2"/>
      <c r="G378" s="43"/>
      <c r="H378" s="2"/>
      <c r="I378" s="2"/>
      <c r="J378" s="2"/>
      <c r="K378" s="2"/>
      <c r="L378" s="2"/>
      <c r="M378" s="2"/>
      <c r="N378" s="2"/>
      <c r="O378" s="2"/>
      <c r="P378" s="2"/>
      <c r="Q378" s="2"/>
      <c r="R378" s="2"/>
      <c r="S378" s="2"/>
      <c r="T378" s="2"/>
      <c r="U378" s="2"/>
      <c r="V378" s="2"/>
      <c r="W378" s="2"/>
      <c r="X378" s="2"/>
      <c r="Y378" s="2"/>
      <c r="Z378" s="2"/>
      <c r="AA378" s="2"/>
      <c r="AB378" s="2"/>
    </row>
    <row r="379" spans="1:28" ht="13">
      <c r="A379" s="2"/>
      <c r="B379" s="2"/>
      <c r="C379" s="2"/>
      <c r="D379" s="2"/>
      <c r="E379" s="2"/>
      <c r="F379" s="2"/>
      <c r="G379" s="43"/>
      <c r="H379" s="2"/>
      <c r="I379" s="2"/>
      <c r="J379" s="2"/>
      <c r="K379" s="2"/>
      <c r="L379" s="2"/>
      <c r="M379" s="2"/>
      <c r="N379" s="2"/>
      <c r="O379" s="2"/>
      <c r="P379" s="2"/>
      <c r="Q379" s="2"/>
      <c r="R379" s="2"/>
      <c r="S379" s="2"/>
      <c r="T379" s="2"/>
      <c r="U379" s="2"/>
      <c r="V379" s="2"/>
      <c r="W379" s="2"/>
      <c r="X379" s="2"/>
      <c r="Y379" s="2"/>
      <c r="Z379" s="2"/>
      <c r="AA379" s="2"/>
      <c r="AB379" s="2"/>
    </row>
    <row r="380" spans="1:28" ht="13">
      <c r="A380" s="2"/>
      <c r="B380" s="2"/>
      <c r="C380" s="2"/>
      <c r="D380" s="2"/>
      <c r="E380" s="2"/>
      <c r="F380" s="2"/>
      <c r="G380" s="43"/>
      <c r="H380" s="2"/>
      <c r="I380" s="2"/>
      <c r="J380" s="2"/>
      <c r="K380" s="2"/>
      <c r="L380" s="2"/>
      <c r="M380" s="2"/>
      <c r="N380" s="2"/>
      <c r="O380" s="2"/>
      <c r="P380" s="2"/>
      <c r="Q380" s="2"/>
      <c r="R380" s="2"/>
      <c r="S380" s="2"/>
      <c r="T380" s="2"/>
      <c r="U380" s="2"/>
      <c r="V380" s="2"/>
      <c r="W380" s="2"/>
      <c r="X380" s="2"/>
      <c r="Y380" s="2"/>
      <c r="Z380" s="2"/>
      <c r="AA380" s="2"/>
      <c r="AB380" s="2"/>
    </row>
    <row r="381" spans="1:28" ht="13">
      <c r="A381" s="2"/>
      <c r="B381" s="2"/>
      <c r="C381" s="2"/>
      <c r="D381" s="2"/>
      <c r="E381" s="2"/>
      <c r="F381" s="2"/>
      <c r="G381" s="43"/>
      <c r="H381" s="2"/>
      <c r="I381" s="2"/>
      <c r="J381" s="2"/>
      <c r="K381" s="2"/>
      <c r="L381" s="2"/>
      <c r="M381" s="2"/>
      <c r="N381" s="2"/>
      <c r="O381" s="2"/>
      <c r="P381" s="2"/>
      <c r="Q381" s="2"/>
      <c r="R381" s="2"/>
      <c r="S381" s="2"/>
      <c r="T381" s="2"/>
      <c r="U381" s="2"/>
      <c r="V381" s="2"/>
      <c r="W381" s="2"/>
      <c r="X381" s="2"/>
      <c r="Y381" s="2"/>
      <c r="Z381" s="2"/>
      <c r="AA381" s="2"/>
      <c r="AB381" s="2"/>
    </row>
    <row r="382" spans="1:28" ht="13">
      <c r="A382" s="2"/>
      <c r="B382" s="2"/>
      <c r="C382" s="2"/>
      <c r="D382" s="2"/>
      <c r="E382" s="2"/>
      <c r="F382" s="2"/>
      <c r="G382" s="43"/>
      <c r="H382" s="2"/>
      <c r="I382" s="2"/>
      <c r="J382" s="2"/>
      <c r="K382" s="2"/>
      <c r="L382" s="2"/>
      <c r="M382" s="2"/>
      <c r="N382" s="2"/>
      <c r="O382" s="2"/>
      <c r="P382" s="2"/>
      <c r="Q382" s="2"/>
      <c r="R382" s="2"/>
      <c r="S382" s="2"/>
      <c r="T382" s="2"/>
      <c r="U382" s="2"/>
      <c r="V382" s="2"/>
      <c r="W382" s="2"/>
      <c r="X382" s="2"/>
      <c r="Y382" s="2"/>
      <c r="Z382" s="2"/>
      <c r="AA382" s="2"/>
      <c r="AB382" s="2"/>
    </row>
    <row r="383" spans="1:28" ht="13">
      <c r="A383" s="2"/>
      <c r="B383" s="2"/>
      <c r="C383" s="2"/>
      <c r="D383" s="2"/>
      <c r="E383" s="2"/>
      <c r="F383" s="2"/>
      <c r="G383" s="43"/>
      <c r="H383" s="2"/>
      <c r="I383" s="2"/>
      <c r="J383" s="2"/>
      <c r="K383" s="2"/>
      <c r="L383" s="2"/>
      <c r="M383" s="2"/>
      <c r="N383" s="2"/>
      <c r="O383" s="2"/>
      <c r="P383" s="2"/>
      <c r="Q383" s="2"/>
      <c r="R383" s="2"/>
      <c r="S383" s="2"/>
      <c r="T383" s="2"/>
      <c r="U383" s="2"/>
      <c r="V383" s="2"/>
      <c r="W383" s="2"/>
      <c r="X383" s="2"/>
      <c r="Y383" s="2"/>
      <c r="Z383" s="2"/>
      <c r="AA383" s="2"/>
      <c r="AB383" s="2"/>
    </row>
    <row r="384" spans="1:28" ht="13">
      <c r="A384" s="2"/>
      <c r="B384" s="2"/>
      <c r="C384" s="2"/>
      <c r="D384" s="2"/>
      <c r="E384" s="2"/>
      <c r="F384" s="2"/>
      <c r="G384" s="43"/>
      <c r="H384" s="2"/>
      <c r="I384" s="2"/>
      <c r="J384" s="2"/>
      <c r="K384" s="2"/>
      <c r="L384" s="2"/>
      <c r="M384" s="2"/>
      <c r="N384" s="2"/>
      <c r="O384" s="2"/>
      <c r="P384" s="2"/>
      <c r="Q384" s="2"/>
      <c r="R384" s="2"/>
      <c r="S384" s="2"/>
      <c r="T384" s="2"/>
      <c r="U384" s="2"/>
      <c r="V384" s="2"/>
      <c r="W384" s="2"/>
      <c r="X384" s="2"/>
      <c r="Y384" s="2"/>
      <c r="Z384" s="2"/>
      <c r="AA384" s="2"/>
      <c r="AB384" s="2"/>
    </row>
    <row r="385" spans="1:28" ht="13">
      <c r="A385" s="2"/>
      <c r="B385" s="2"/>
      <c r="C385" s="2"/>
      <c r="D385" s="2"/>
      <c r="E385" s="2"/>
      <c r="F385" s="2"/>
      <c r="G385" s="43"/>
      <c r="H385" s="2"/>
      <c r="I385" s="2"/>
      <c r="J385" s="2"/>
      <c r="K385" s="2"/>
      <c r="L385" s="2"/>
      <c r="M385" s="2"/>
      <c r="N385" s="2"/>
      <c r="O385" s="2"/>
      <c r="P385" s="2"/>
      <c r="Q385" s="2"/>
      <c r="R385" s="2"/>
      <c r="S385" s="2"/>
      <c r="T385" s="2"/>
      <c r="U385" s="2"/>
      <c r="V385" s="2"/>
      <c r="W385" s="2"/>
      <c r="X385" s="2"/>
      <c r="Y385" s="2"/>
      <c r="Z385" s="2"/>
      <c r="AA385" s="2"/>
      <c r="AB385" s="2"/>
    </row>
    <row r="386" spans="1:28" ht="13">
      <c r="A386" s="2"/>
      <c r="B386" s="2"/>
      <c r="C386" s="2"/>
      <c r="D386" s="2"/>
      <c r="E386" s="2"/>
      <c r="F386" s="2"/>
      <c r="G386" s="43"/>
      <c r="H386" s="2"/>
      <c r="I386" s="2"/>
      <c r="J386" s="2"/>
      <c r="K386" s="2"/>
      <c r="L386" s="2"/>
      <c r="M386" s="2"/>
      <c r="N386" s="2"/>
      <c r="O386" s="2"/>
      <c r="P386" s="2"/>
      <c r="Q386" s="2"/>
      <c r="R386" s="2"/>
      <c r="S386" s="2"/>
      <c r="T386" s="2"/>
      <c r="U386" s="2"/>
      <c r="V386" s="2"/>
      <c r="W386" s="2"/>
      <c r="X386" s="2"/>
      <c r="Y386" s="2"/>
      <c r="Z386" s="2"/>
      <c r="AA386" s="2"/>
      <c r="AB386" s="2"/>
    </row>
    <row r="387" spans="1:28" ht="13">
      <c r="A387" s="2"/>
      <c r="B387" s="2"/>
      <c r="C387" s="2"/>
      <c r="D387" s="2"/>
      <c r="E387" s="2"/>
      <c r="F387" s="2"/>
      <c r="G387" s="43"/>
      <c r="H387" s="2"/>
      <c r="I387" s="2"/>
      <c r="J387" s="2"/>
      <c r="K387" s="2"/>
      <c r="L387" s="2"/>
      <c r="M387" s="2"/>
      <c r="N387" s="2"/>
      <c r="O387" s="2"/>
      <c r="P387" s="2"/>
      <c r="Q387" s="2"/>
      <c r="R387" s="2"/>
      <c r="S387" s="2"/>
      <c r="T387" s="2"/>
      <c r="U387" s="2"/>
      <c r="V387" s="2"/>
      <c r="W387" s="2"/>
      <c r="X387" s="2"/>
      <c r="Y387" s="2"/>
      <c r="Z387" s="2"/>
      <c r="AA387" s="2"/>
      <c r="AB387" s="2"/>
    </row>
    <row r="388" spans="1:28" ht="13">
      <c r="A388" s="2"/>
      <c r="B388" s="2"/>
      <c r="C388" s="2"/>
      <c r="D388" s="2"/>
      <c r="E388" s="2"/>
      <c r="F388" s="2"/>
      <c r="G388" s="43"/>
      <c r="H388" s="2"/>
      <c r="I388" s="2"/>
      <c r="J388" s="2"/>
      <c r="K388" s="2"/>
      <c r="L388" s="2"/>
      <c r="M388" s="2"/>
      <c r="N388" s="2"/>
      <c r="O388" s="2"/>
      <c r="P388" s="2"/>
      <c r="Q388" s="2"/>
      <c r="R388" s="2"/>
      <c r="S388" s="2"/>
      <c r="T388" s="2"/>
      <c r="U388" s="2"/>
      <c r="V388" s="2"/>
      <c r="W388" s="2"/>
      <c r="X388" s="2"/>
      <c r="Y388" s="2"/>
      <c r="Z388" s="2"/>
      <c r="AA388" s="2"/>
      <c r="AB388" s="2"/>
    </row>
    <row r="389" spans="1:28" ht="13">
      <c r="A389" s="2"/>
      <c r="B389" s="2"/>
      <c r="C389" s="2"/>
      <c r="D389" s="2"/>
      <c r="E389" s="2"/>
      <c r="F389" s="2"/>
      <c r="G389" s="43"/>
      <c r="H389" s="2"/>
      <c r="I389" s="2"/>
      <c r="J389" s="2"/>
      <c r="K389" s="2"/>
      <c r="L389" s="2"/>
      <c r="M389" s="2"/>
      <c r="N389" s="2"/>
      <c r="O389" s="2"/>
      <c r="P389" s="2"/>
      <c r="Q389" s="2"/>
      <c r="R389" s="2"/>
      <c r="S389" s="2"/>
      <c r="T389" s="2"/>
      <c r="U389" s="2"/>
      <c r="V389" s="2"/>
      <c r="W389" s="2"/>
      <c r="X389" s="2"/>
      <c r="Y389" s="2"/>
      <c r="Z389" s="2"/>
      <c r="AA389" s="2"/>
      <c r="AB389" s="2"/>
    </row>
    <row r="390" spans="1:28" ht="13">
      <c r="A390" s="2"/>
      <c r="B390" s="2"/>
      <c r="C390" s="2"/>
      <c r="D390" s="2"/>
      <c r="E390" s="2"/>
      <c r="F390" s="2"/>
      <c r="G390" s="43"/>
      <c r="H390" s="2"/>
      <c r="I390" s="2"/>
      <c r="J390" s="2"/>
      <c r="K390" s="2"/>
      <c r="L390" s="2"/>
      <c r="M390" s="2"/>
      <c r="N390" s="2"/>
      <c r="O390" s="2"/>
      <c r="P390" s="2"/>
      <c r="Q390" s="2"/>
      <c r="R390" s="2"/>
      <c r="S390" s="2"/>
      <c r="T390" s="2"/>
      <c r="U390" s="2"/>
      <c r="V390" s="2"/>
      <c r="W390" s="2"/>
      <c r="X390" s="2"/>
      <c r="Y390" s="2"/>
      <c r="Z390" s="2"/>
      <c r="AA390" s="2"/>
      <c r="AB390" s="2"/>
    </row>
    <row r="391" spans="1:28" ht="13">
      <c r="A391" s="2"/>
      <c r="B391" s="2"/>
      <c r="C391" s="2"/>
      <c r="D391" s="2"/>
      <c r="E391" s="2"/>
      <c r="F391" s="2"/>
      <c r="G391" s="43"/>
      <c r="H391" s="2"/>
      <c r="I391" s="2"/>
      <c r="J391" s="2"/>
      <c r="K391" s="2"/>
      <c r="L391" s="2"/>
      <c r="M391" s="2"/>
      <c r="N391" s="2"/>
      <c r="O391" s="2"/>
      <c r="P391" s="2"/>
      <c r="Q391" s="2"/>
      <c r="R391" s="2"/>
      <c r="S391" s="2"/>
      <c r="T391" s="2"/>
      <c r="U391" s="2"/>
      <c r="V391" s="2"/>
      <c r="W391" s="2"/>
      <c r="X391" s="2"/>
      <c r="Y391" s="2"/>
      <c r="Z391" s="2"/>
      <c r="AA391" s="2"/>
      <c r="AB391" s="2"/>
    </row>
    <row r="392" spans="1:28" ht="13">
      <c r="A392" s="2"/>
      <c r="B392" s="2"/>
      <c r="C392" s="2"/>
      <c r="D392" s="2"/>
      <c r="E392" s="2"/>
      <c r="F392" s="2"/>
      <c r="G392" s="43"/>
      <c r="H392" s="2"/>
      <c r="I392" s="2"/>
      <c r="J392" s="2"/>
      <c r="K392" s="2"/>
      <c r="L392" s="2"/>
      <c r="M392" s="2"/>
      <c r="N392" s="2"/>
      <c r="O392" s="2"/>
      <c r="P392" s="2"/>
      <c r="Q392" s="2"/>
      <c r="R392" s="2"/>
      <c r="S392" s="2"/>
      <c r="T392" s="2"/>
      <c r="U392" s="2"/>
      <c r="V392" s="2"/>
      <c r="W392" s="2"/>
      <c r="X392" s="2"/>
      <c r="Y392" s="2"/>
      <c r="Z392" s="2"/>
      <c r="AA392" s="2"/>
      <c r="AB392" s="2"/>
    </row>
    <row r="393" spans="1:28" ht="13">
      <c r="A393" s="2"/>
      <c r="B393" s="2"/>
      <c r="C393" s="2"/>
      <c r="D393" s="2"/>
      <c r="E393" s="2"/>
      <c r="F393" s="2"/>
      <c r="G393" s="43"/>
      <c r="H393" s="2"/>
      <c r="I393" s="2"/>
      <c r="J393" s="2"/>
      <c r="K393" s="2"/>
      <c r="L393" s="2"/>
      <c r="M393" s="2"/>
      <c r="N393" s="2"/>
      <c r="O393" s="2"/>
      <c r="P393" s="2"/>
      <c r="Q393" s="2"/>
      <c r="R393" s="2"/>
      <c r="S393" s="2"/>
      <c r="T393" s="2"/>
      <c r="U393" s="2"/>
      <c r="V393" s="2"/>
      <c r="W393" s="2"/>
      <c r="X393" s="2"/>
      <c r="Y393" s="2"/>
      <c r="Z393" s="2"/>
      <c r="AA393" s="2"/>
      <c r="AB393" s="2"/>
    </row>
    <row r="394" spans="1:28" ht="13">
      <c r="A394" s="2"/>
      <c r="B394" s="2"/>
      <c r="C394" s="2"/>
      <c r="D394" s="2"/>
      <c r="E394" s="2"/>
      <c r="F394" s="2"/>
      <c r="G394" s="43"/>
      <c r="H394" s="2"/>
      <c r="I394" s="2"/>
      <c r="J394" s="2"/>
      <c r="K394" s="2"/>
      <c r="L394" s="2"/>
      <c r="M394" s="2"/>
      <c r="N394" s="2"/>
      <c r="O394" s="2"/>
      <c r="P394" s="2"/>
      <c r="Q394" s="2"/>
      <c r="R394" s="2"/>
      <c r="S394" s="2"/>
      <c r="T394" s="2"/>
      <c r="U394" s="2"/>
      <c r="V394" s="2"/>
      <c r="W394" s="2"/>
      <c r="X394" s="2"/>
      <c r="Y394" s="2"/>
      <c r="Z394" s="2"/>
      <c r="AA394" s="2"/>
      <c r="AB394" s="2"/>
    </row>
    <row r="395" spans="1:28" ht="13">
      <c r="A395" s="2"/>
      <c r="B395" s="2"/>
      <c r="C395" s="2"/>
      <c r="D395" s="2"/>
      <c r="E395" s="2"/>
      <c r="F395" s="2"/>
      <c r="G395" s="43"/>
      <c r="H395" s="2"/>
      <c r="I395" s="2"/>
      <c r="J395" s="2"/>
      <c r="K395" s="2"/>
      <c r="L395" s="2"/>
      <c r="M395" s="2"/>
      <c r="N395" s="2"/>
      <c r="O395" s="2"/>
      <c r="P395" s="2"/>
      <c r="Q395" s="2"/>
      <c r="R395" s="2"/>
      <c r="S395" s="2"/>
      <c r="T395" s="2"/>
      <c r="U395" s="2"/>
      <c r="V395" s="2"/>
      <c r="W395" s="2"/>
      <c r="X395" s="2"/>
      <c r="Y395" s="2"/>
      <c r="Z395" s="2"/>
      <c r="AA395" s="2"/>
      <c r="AB395" s="2"/>
    </row>
    <row r="396" spans="1:28" ht="13">
      <c r="A396" s="2"/>
      <c r="B396" s="2"/>
      <c r="C396" s="2"/>
      <c r="D396" s="2"/>
      <c r="E396" s="2"/>
      <c r="F396" s="2"/>
      <c r="G396" s="43"/>
      <c r="H396" s="2"/>
      <c r="I396" s="2"/>
      <c r="J396" s="2"/>
      <c r="K396" s="2"/>
      <c r="L396" s="2"/>
      <c r="M396" s="2"/>
      <c r="N396" s="2"/>
      <c r="O396" s="2"/>
      <c r="P396" s="2"/>
      <c r="Q396" s="2"/>
      <c r="R396" s="2"/>
      <c r="S396" s="2"/>
      <c r="T396" s="2"/>
      <c r="U396" s="2"/>
      <c r="V396" s="2"/>
      <c r="W396" s="2"/>
      <c r="X396" s="2"/>
      <c r="Y396" s="2"/>
      <c r="Z396" s="2"/>
      <c r="AA396" s="2"/>
      <c r="AB396" s="2"/>
    </row>
    <row r="397" spans="1:28" ht="13">
      <c r="A397" s="2"/>
      <c r="B397" s="2"/>
      <c r="C397" s="2"/>
      <c r="D397" s="2"/>
      <c r="E397" s="2"/>
      <c r="F397" s="2"/>
      <c r="G397" s="43"/>
      <c r="H397" s="2"/>
      <c r="I397" s="2"/>
      <c r="J397" s="2"/>
      <c r="K397" s="2"/>
      <c r="L397" s="2"/>
      <c r="M397" s="2"/>
      <c r="N397" s="2"/>
      <c r="O397" s="2"/>
      <c r="P397" s="2"/>
      <c r="Q397" s="2"/>
      <c r="R397" s="2"/>
      <c r="S397" s="2"/>
      <c r="T397" s="2"/>
      <c r="U397" s="2"/>
      <c r="V397" s="2"/>
      <c r="W397" s="2"/>
      <c r="X397" s="2"/>
      <c r="Y397" s="2"/>
      <c r="Z397" s="2"/>
      <c r="AA397" s="2"/>
      <c r="AB397" s="2"/>
    </row>
    <row r="398" spans="1:28" ht="13">
      <c r="A398" s="2"/>
      <c r="B398" s="2"/>
      <c r="C398" s="2"/>
      <c r="D398" s="2"/>
      <c r="E398" s="2"/>
      <c r="F398" s="2"/>
      <c r="G398" s="43"/>
      <c r="H398" s="2"/>
      <c r="I398" s="2"/>
      <c r="J398" s="2"/>
      <c r="K398" s="2"/>
      <c r="L398" s="2"/>
      <c r="M398" s="2"/>
      <c r="N398" s="2"/>
      <c r="O398" s="2"/>
      <c r="P398" s="2"/>
      <c r="Q398" s="2"/>
      <c r="R398" s="2"/>
      <c r="S398" s="2"/>
      <c r="T398" s="2"/>
      <c r="U398" s="2"/>
      <c r="V398" s="2"/>
      <c r="W398" s="2"/>
      <c r="X398" s="2"/>
      <c r="Y398" s="2"/>
      <c r="Z398" s="2"/>
      <c r="AA398" s="2"/>
      <c r="AB398" s="2"/>
    </row>
    <row r="399" spans="1:28" ht="13">
      <c r="A399" s="2"/>
      <c r="B399" s="2"/>
      <c r="C399" s="2"/>
      <c r="D399" s="2"/>
      <c r="E399" s="2"/>
      <c r="F399" s="2"/>
      <c r="G399" s="43"/>
      <c r="H399" s="2"/>
      <c r="I399" s="2"/>
      <c r="J399" s="2"/>
      <c r="K399" s="2"/>
      <c r="L399" s="2"/>
      <c r="M399" s="2"/>
      <c r="N399" s="2"/>
      <c r="O399" s="2"/>
      <c r="P399" s="2"/>
      <c r="Q399" s="2"/>
      <c r="R399" s="2"/>
      <c r="S399" s="2"/>
      <c r="T399" s="2"/>
      <c r="U399" s="2"/>
      <c r="V399" s="2"/>
      <c r="W399" s="2"/>
      <c r="X399" s="2"/>
      <c r="Y399" s="2"/>
      <c r="Z399" s="2"/>
      <c r="AA399" s="2"/>
      <c r="AB399" s="2"/>
    </row>
    <row r="400" spans="1:28" ht="13">
      <c r="A400" s="2"/>
      <c r="B400" s="2"/>
      <c r="C400" s="2"/>
      <c r="D400" s="2"/>
      <c r="E400" s="2"/>
      <c r="F400" s="2"/>
      <c r="G400" s="43"/>
      <c r="H400" s="2"/>
      <c r="I400" s="2"/>
      <c r="J400" s="2"/>
      <c r="K400" s="2"/>
      <c r="L400" s="2"/>
      <c r="M400" s="2"/>
      <c r="N400" s="2"/>
      <c r="O400" s="2"/>
      <c r="P400" s="2"/>
      <c r="Q400" s="2"/>
      <c r="R400" s="2"/>
      <c r="S400" s="2"/>
      <c r="T400" s="2"/>
      <c r="U400" s="2"/>
      <c r="V400" s="2"/>
      <c r="W400" s="2"/>
      <c r="X400" s="2"/>
      <c r="Y400" s="2"/>
      <c r="Z400" s="2"/>
      <c r="AA400" s="2"/>
      <c r="AB400" s="2"/>
    </row>
    <row r="401" spans="1:28" ht="13">
      <c r="A401" s="2"/>
      <c r="B401" s="2"/>
      <c r="C401" s="2"/>
      <c r="D401" s="2"/>
      <c r="E401" s="2"/>
      <c r="F401" s="2"/>
      <c r="G401" s="43"/>
      <c r="H401" s="2"/>
      <c r="I401" s="2"/>
      <c r="J401" s="2"/>
      <c r="K401" s="2"/>
      <c r="L401" s="2"/>
      <c r="M401" s="2"/>
      <c r="N401" s="2"/>
      <c r="O401" s="2"/>
      <c r="P401" s="2"/>
      <c r="Q401" s="2"/>
      <c r="R401" s="2"/>
      <c r="S401" s="2"/>
      <c r="T401" s="2"/>
      <c r="U401" s="2"/>
      <c r="V401" s="2"/>
      <c r="W401" s="2"/>
      <c r="X401" s="2"/>
      <c r="Y401" s="2"/>
      <c r="Z401" s="2"/>
      <c r="AA401" s="2"/>
      <c r="AB401" s="2"/>
    </row>
    <row r="402" spans="1:28" ht="13">
      <c r="A402" s="2"/>
      <c r="B402" s="2"/>
      <c r="C402" s="2"/>
      <c r="D402" s="2"/>
      <c r="E402" s="2"/>
      <c r="F402" s="2"/>
      <c r="G402" s="43"/>
      <c r="H402" s="2"/>
      <c r="I402" s="2"/>
      <c r="J402" s="2"/>
      <c r="K402" s="2"/>
      <c r="L402" s="2"/>
      <c r="M402" s="2"/>
      <c r="N402" s="2"/>
      <c r="O402" s="2"/>
      <c r="P402" s="2"/>
      <c r="Q402" s="2"/>
      <c r="R402" s="2"/>
      <c r="S402" s="2"/>
      <c r="T402" s="2"/>
      <c r="U402" s="2"/>
      <c r="V402" s="2"/>
      <c r="W402" s="2"/>
      <c r="X402" s="2"/>
      <c r="Y402" s="2"/>
      <c r="Z402" s="2"/>
      <c r="AA402" s="2"/>
      <c r="AB402" s="2"/>
    </row>
    <row r="403" spans="1:28" ht="13">
      <c r="A403" s="2"/>
      <c r="B403" s="2"/>
      <c r="C403" s="2"/>
      <c r="D403" s="2"/>
      <c r="E403" s="2"/>
      <c r="F403" s="2"/>
      <c r="G403" s="43"/>
      <c r="H403" s="2"/>
      <c r="I403" s="2"/>
      <c r="J403" s="2"/>
      <c r="K403" s="2"/>
      <c r="L403" s="2"/>
      <c r="M403" s="2"/>
      <c r="N403" s="2"/>
      <c r="O403" s="2"/>
      <c r="P403" s="2"/>
      <c r="Q403" s="2"/>
      <c r="R403" s="2"/>
      <c r="S403" s="2"/>
      <c r="T403" s="2"/>
      <c r="U403" s="2"/>
      <c r="V403" s="2"/>
      <c r="W403" s="2"/>
      <c r="X403" s="2"/>
      <c r="Y403" s="2"/>
      <c r="Z403" s="2"/>
      <c r="AA403" s="2"/>
      <c r="AB403" s="2"/>
    </row>
    <row r="404" spans="1:28" ht="13">
      <c r="A404" s="2"/>
      <c r="B404" s="2"/>
      <c r="C404" s="2"/>
      <c r="D404" s="2"/>
      <c r="E404" s="2"/>
      <c r="F404" s="2"/>
      <c r="G404" s="43"/>
      <c r="H404" s="2"/>
      <c r="I404" s="2"/>
      <c r="J404" s="2"/>
      <c r="K404" s="2"/>
      <c r="L404" s="2"/>
      <c r="M404" s="2"/>
      <c r="N404" s="2"/>
      <c r="O404" s="2"/>
      <c r="P404" s="2"/>
      <c r="Q404" s="2"/>
      <c r="R404" s="2"/>
      <c r="S404" s="2"/>
      <c r="T404" s="2"/>
      <c r="U404" s="2"/>
      <c r="V404" s="2"/>
      <c r="W404" s="2"/>
      <c r="X404" s="2"/>
      <c r="Y404" s="2"/>
      <c r="Z404" s="2"/>
      <c r="AA404" s="2"/>
      <c r="AB404" s="2"/>
    </row>
    <row r="405" spans="1:28" ht="13">
      <c r="A405" s="2"/>
      <c r="B405" s="2"/>
      <c r="C405" s="2"/>
      <c r="D405" s="2"/>
      <c r="E405" s="2"/>
      <c r="F405" s="2"/>
      <c r="G405" s="43"/>
      <c r="H405" s="2"/>
      <c r="I405" s="2"/>
      <c r="J405" s="2"/>
      <c r="K405" s="2"/>
      <c r="L405" s="2"/>
      <c r="M405" s="2"/>
      <c r="N405" s="2"/>
      <c r="O405" s="2"/>
      <c r="P405" s="2"/>
      <c r="Q405" s="2"/>
      <c r="R405" s="2"/>
      <c r="S405" s="2"/>
      <c r="T405" s="2"/>
      <c r="U405" s="2"/>
      <c r="V405" s="2"/>
      <c r="W405" s="2"/>
      <c r="X405" s="2"/>
      <c r="Y405" s="2"/>
      <c r="Z405" s="2"/>
      <c r="AA405" s="2"/>
      <c r="AB405" s="2"/>
    </row>
    <row r="406" spans="1:28" ht="13">
      <c r="A406" s="2"/>
      <c r="B406" s="2"/>
      <c r="C406" s="2"/>
      <c r="D406" s="2"/>
      <c r="E406" s="2"/>
      <c r="F406" s="2"/>
      <c r="G406" s="43"/>
      <c r="H406" s="2"/>
      <c r="I406" s="2"/>
      <c r="J406" s="2"/>
      <c r="K406" s="2"/>
      <c r="L406" s="2"/>
      <c r="M406" s="2"/>
      <c r="N406" s="2"/>
      <c r="O406" s="2"/>
      <c r="P406" s="2"/>
      <c r="Q406" s="2"/>
      <c r="R406" s="2"/>
      <c r="S406" s="2"/>
      <c r="T406" s="2"/>
      <c r="U406" s="2"/>
      <c r="V406" s="2"/>
      <c r="W406" s="2"/>
      <c r="X406" s="2"/>
      <c r="Y406" s="2"/>
      <c r="Z406" s="2"/>
      <c r="AA406" s="2"/>
      <c r="AB406" s="2"/>
    </row>
    <row r="407" spans="1:28" ht="13">
      <c r="A407" s="2"/>
      <c r="B407" s="2"/>
      <c r="C407" s="2"/>
      <c r="D407" s="2"/>
      <c r="E407" s="2"/>
      <c r="F407" s="2"/>
      <c r="G407" s="43"/>
      <c r="H407" s="2"/>
      <c r="I407" s="2"/>
      <c r="J407" s="2"/>
      <c r="K407" s="2"/>
      <c r="L407" s="2"/>
      <c r="M407" s="2"/>
      <c r="N407" s="2"/>
      <c r="O407" s="2"/>
      <c r="P407" s="2"/>
      <c r="Q407" s="2"/>
      <c r="R407" s="2"/>
      <c r="S407" s="2"/>
      <c r="T407" s="2"/>
      <c r="U407" s="2"/>
      <c r="V407" s="2"/>
      <c r="W407" s="2"/>
      <c r="X407" s="2"/>
      <c r="Y407" s="2"/>
      <c r="Z407" s="2"/>
      <c r="AA407" s="2"/>
      <c r="AB407" s="2"/>
    </row>
    <row r="408" spans="1:28" ht="13">
      <c r="A408" s="2"/>
      <c r="B408" s="2"/>
      <c r="C408" s="2"/>
      <c r="D408" s="2"/>
      <c r="E408" s="2"/>
      <c r="F408" s="2"/>
      <c r="G408" s="43"/>
      <c r="H408" s="2"/>
      <c r="I408" s="2"/>
      <c r="J408" s="2"/>
      <c r="K408" s="2"/>
      <c r="L408" s="2"/>
      <c r="M408" s="2"/>
      <c r="N408" s="2"/>
      <c r="O408" s="2"/>
      <c r="P408" s="2"/>
      <c r="Q408" s="2"/>
      <c r="R408" s="2"/>
      <c r="S408" s="2"/>
      <c r="T408" s="2"/>
      <c r="U408" s="2"/>
      <c r="V408" s="2"/>
      <c r="W408" s="2"/>
      <c r="X408" s="2"/>
      <c r="Y408" s="2"/>
      <c r="Z408" s="2"/>
      <c r="AA408" s="2"/>
      <c r="AB408" s="2"/>
    </row>
    <row r="409" spans="1:28" ht="13">
      <c r="A409" s="2"/>
      <c r="B409" s="2"/>
      <c r="C409" s="2"/>
      <c r="D409" s="2"/>
      <c r="E409" s="2"/>
      <c r="F409" s="2"/>
      <c r="G409" s="43"/>
      <c r="H409" s="2"/>
      <c r="I409" s="2"/>
      <c r="J409" s="2"/>
      <c r="K409" s="2"/>
      <c r="L409" s="2"/>
      <c r="M409" s="2"/>
      <c r="N409" s="2"/>
      <c r="O409" s="2"/>
      <c r="P409" s="2"/>
      <c r="Q409" s="2"/>
      <c r="R409" s="2"/>
      <c r="S409" s="2"/>
      <c r="T409" s="2"/>
      <c r="U409" s="2"/>
      <c r="V409" s="2"/>
      <c r="W409" s="2"/>
      <c r="X409" s="2"/>
      <c r="Y409" s="2"/>
      <c r="Z409" s="2"/>
      <c r="AA409" s="2"/>
      <c r="AB409" s="2"/>
    </row>
    <row r="410" spans="1:28" ht="13">
      <c r="A410" s="2"/>
      <c r="B410" s="2"/>
      <c r="C410" s="2"/>
      <c r="D410" s="2"/>
      <c r="E410" s="2"/>
      <c r="F410" s="2"/>
      <c r="G410" s="43"/>
      <c r="H410" s="2"/>
      <c r="I410" s="2"/>
      <c r="J410" s="2"/>
      <c r="K410" s="2"/>
      <c r="L410" s="2"/>
      <c r="M410" s="2"/>
      <c r="N410" s="2"/>
      <c r="O410" s="2"/>
      <c r="P410" s="2"/>
      <c r="Q410" s="2"/>
      <c r="R410" s="2"/>
      <c r="S410" s="2"/>
      <c r="T410" s="2"/>
      <c r="U410" s="2"/>
      <c r="V410" s="2"/>
      <c r="W410" s="2"/>
      <c r="X410" s="2"/>
      <c r="Y410" s="2"/>
      <c r="Z410" s="2"/>
      <c r="AA410" s="2"/>
      <c r="AB410" s="2"/>
    </row>
    <row r="411" spans="1:28" ht="13">
      <c r="A411" s="2"/>
      <c r="B411" s="2"/>
      <c r="C411" s="2"/>
      <c r="D411" s="2"/>
      <c r="E411" s="2"/>
      <c r="F411" s="2"/>
      <c r="G411" s="43"/>
      <c r="H411" s="2"/>
      <c r="I411" s="2"/>
      <c r="J411" s="2"/>
      <c r="K411" s="2"/>
      <c r="L411" s="2"/>
      <c r="M411" s="2"/>
      <c r="N411" s="2"/>
      <c r="O411" s="2"/>
      <c r="P411" s="2"/>
      <c r="Q411" s="2"/>
      <c r="R411" s="2"/>
      <c r="S411" s="2"/>
      <c r="T411" s="2"/>
      <c r="U411" s="2"/>
      <c r="V411" s="2"/>
      <c r="W411" s="2"/>
      <c r="X411" s="2"/>
      <c r="Y411" s="2"/>
      <c r="Z411" s="2"/>
      <c r="AA411" s="2"/>
      <c r="AB411" s="2"/>
    </row>
    <row r="412" spans="1:28" ht="13">
      <c r="A412" s="2"/>
      <c r="B412" s="2"/>
      <c r="C412" s="2"/>
      <c r="D412" s="2"/>
      <c r="E412" s="2"/>
      <c r="F412" s="2"/>
      <c r="G412" s="43"/>
      <c r="H412" s="2"/>
      <c r="I412" s="2"/>
      <c r="J412" s="2"/>
      <c r="K412" s="2"/>
      <c r="L412" s="2"/>
      <c r="M412" s="2"/>
      <c r="N412" s="2"/>
      <c r="O412" s="2"/>
      <c r="P412" s="2"/>
      <c r="Q412" s="2"/>
      <c r="R412" s="2"/>
      <c r="S412" s="2"/>
      <c r="T412" s="2"/>
      <c r="U412" s="2"/>
      <c r="V412" s="2"/>
      <c r="W412" s="2"/>
      <c r="X412" s="2"/>
      <c r="Y412" s="2"/>
      <c r="Z412" s="2"/>
      <c r="AA412" s="2"/>
      <c r="AB412" s="2"/>
    </row>
    <row r="413" spans="1:28" ht="13">
      <c r="A413" s="2"/>
      <c r="B413" s="2"/>
      <c r="C413" s="2"/>
      <c r="D413" s="2"/>
      <c r="E413" s="2"/>
      <c r="F413" s="2"/>
      <c r="G413" s="43"/>
      <c r="H413" s="2"/>
      <c r="I413" s="2"/>
      <c r="J413" s="2"/>
      <c r="K413" s="2"/>
      <c r="L413" s="2"/>
      <c r="M413" s="2"/>
      <c r="N413" s="2"/>
      <c r="O413" s="2"/>
      <c r="P413" s="2"/>
      <c r="Q413" s="2"/>
      <c r="R413" s="2"/>
      <c r="S413" s="2"/>
      <c r="T413" s="2"/>
      <c r="U413" s="2"/>
      <c r="V413" s="2"/>
      <c r="W413" s="2"/>
      <c r="X413" s="2"/>
      <c r="Y413" s="2"/>
      <c r="Z413" s="2"/>
      <c r="AA413" s="2"/>
      <c r="AB413" s="2"/>
    </row>
    <row r="414" spans="1:28" ht="13">
      <c r="A414" s="2"/>
      <c r="B414" s="2"/>
      <c r="C414" s="2"/>
      <c r="D414" s="2"/>
      <c r="E414" s="2"/>
      <c r="F414" s="2"/>
      <c r="G414" s="43"/>
      <c r="H414" s="2"/>
      <c r="I414" s="2"/>
      <c r="J414" s="2"/>
      <c r="K414" s="2"/>
      <c r="L414" s="2"/>
      <c r="M414" s="2"/>
      <c r="N414" s="2"/>
      <c r="O414" s="2"/>
      <c r="P414" s="2"/>
      <c r="Q414" s="2"/>
      <c r="R414" s="2"/>
      <c r="S414" s="2"/>
      <c r="T414" s="2"/>
      <c r="U414" s="2"/>
      <c r="V414" s="2"/>
      <c r="W414" s="2"/>
      <c r="X414" s="2"/>
      <c r="Y414" s="2"/>
      <c r="Z414" s="2"/>
      <c r="AA414" s="2"/>
      <c r="AB414" s="2"/>
    </row>
    <row r="415" spans="1:28" ht="13">
      <c r="A415" s="2"/>
      <c r="B415" s="2"/>
      <c r="C415" s="2"/>
      <c r="D415" s="2"/>
      <c r="E415" s="2"/>
      <c r="F415" s="2"/>
      <c r="G415" s="43"/>
      <c r="H415" s="2"/>
      <c r="I415" s="2"/>
      <c r="J415" s="2"/>
      <c r="K415" s="2"/>
      <c r="L415" s="2"/>
      <c r="M415" s="2"/>
      <c r="N415" s="2"/>
      <c r="O415" s="2"/>
      <c r="P415" s="2"/>
      <c r="Q415" s="2"/>
      <c r="R415" s="2"/>
      <c r="S415" s="2"/>
      <c r="T415" s="2"/>
      <c r="U415" s="2"/>
      <c r="V415" s="2"/>
      <c r="W415" s="2"/>
      <c r="X415" s="2"/>
      <c r="Y415" s="2"/>
      <c r="Z415" s="2"/>
      <c r="AA415" s="2"/>
      <c r="AB415" s="2"/>
    </row>
    <row r="416" spans="1:28" ht="13">
      <c r="A416" s="2"/>
      <c r="B416" s="2"/>
      <c r="C416" s="2"/>
      <c r="D416" s="2"/>
      <c r="E416" s="2"/>
      <c r="F416" s="2"/>
      <c r="G416" s="43"/>
      <c r="H416" s="2"/>
      <c r="I416" s="2"/>
      <c r="J416" s="2"/>
      <c r="K416" s="2"/>
      <c r="L416" s="2"/>
      <c r="M416" s="2"/>
      <c r="N416" s="2"/>
      <c r="O416" s="2"/>
      <c r="P416" s="2"/>
      <c r="Q416" s="2"/>
      <c r="R416" s="2"/>
      <c r="S416" s="2"/>
      <c r="T416" s="2"/>
      <c r="U416" s="2"/>
      <c r="V416" s="2"/>
      <c r="W416" s="2"/>
      <c r="X416" s="2"/>
      <c r="Y416" s="2"/>
      <c r="Z416" s="2"/>
      <c r="AA416" s="2"/>
      <c r="AB416" s="2"/>
    </row>
    <row r="417" spans="1:28" ht="13">
      <c r="A417" s="2"/>
      <c r="B417" s="2"/>
      <c r="C417" s="2"/>
      <c r="D417" s="2"/>
      <c r="E417" s="2"/>
      <c r="F417" s="2"/>
      <c r="G417" s="43"/>
      <c r="H417" s="2"/>
      <c r="I417" s="2"/>
      <c r="J417" s="2"/>
      <c r="K417" s="2"/>
      <c r="L417" s="2"/>
      <c r="M417" s="2"/>
      <c r="N417" s="2"/>
      <c r="O417" s="2"/>
      <c r="P417" s="2"/>
      <c r="Q417" s="2"/>
      <c r="R417" s="2"/>
      <c r="S417" s="2"/>
      <c r="T417" s="2"/>
      <c r="U417" s="2"/>
      <c r="V417" s="2"/>
      <c r="W417" s="2"/>
      <c r="X417" s="2"/>
      <c r="Y417" s="2"/>
      <c r="Z417" s="2"/>
      <c r="AA417" s="2"/>
      <c r="AB417" s="2"/>
    </row>
    <row r="418" spans="1:28" ht="13">
      <c r="A418" s="2"/>
      <c r="B418" s="2"/>
      <c r="C418" s="2"/>
      <c r="D418" s="2"/>
      <c r="E418" s="2"/>
      <c r="F418" s="2"/>
      <c r="G418" s="43"/>
      <c r="H418" s="2"/>
      <c r="I418" s="2"/>
      <c r="J418" s="2"/>
      <c r="K418" s="2"/>
      <c r="L418" s="2"/>
      <c r="M418" s="2"/>
      <c r="N418" s="2"/>
      <c r="O418" s="2"/>
      <c r="P418" s="2"/>
      <c r="Q418" s="2"/>
      <c r="R418" s="2"/>
      <c r="S418" s="2"/>
      <c r="T418" s="2"/>
      <c r="U418" s="2"/>
      <c r="V418" s="2"/>
      <c r="W418" s="2"/>
      <c r="X418" s="2"/>
      <c r="Y418" s="2"/>
      <c r="Z418" s="2"/>
      <c r="AA418" s="2"/>
      <c r="AB418" s="2"/>
    </row>
    <row r="419" spans="1:28" ht="13">
      <c r="A419" s="2"/>
      <c r="B419" s="2"/>
      <c r="C419" s="2"/>
      <c r="D419" s="2"/>
      <c r="E419" s="2"/>
      <c r="F419" s="2"/>
      <c r="G419" s="43"/>
      <c r="H419" s="2"/>
      <c r="I419" s="2"/>
      <c r="J419" s="2"/>
      <c r="K419" s="2"/>
      <c r="L419" s="2"/>
      <c r="M419" s="2"/>
      <c r="N419" s="2"/>
      <c r="O419" s="2"/>
      <c r="P419" s="2"/>
      <c r="Q419" s="2"/>
      <c r="R419" s="2"/>
      <c r="S419" s="2"/>
      <c r="T419" s="2"/>
      <c r="U419" s="2"/>
      <c r="V419" s="2"/>
      <c r="W419" s="2"/>
      <c r="X419" s="2"/>
      <c r="Y419" s="2"/>
      <c r="Z419" s="2"/>
      <c r="AA419" s="2"/>
      <c r="AB419" s="2"/>
    </row>
    <row r="420" spans="1:28" ht="13">
      <c r="A420" s="2"/>
      <c r="B420" s="2"/>
      <c r="C420" s="2"/>
      <c r="D420" s="2"/>
      <c r="E420" s="2"/>
      <c r="F420" s="2"/>
      <c r="G420" s="43"/>
      <c r="H420" s="2"/>
      <c r="I420" s="2"/>
      <c r="J420" s="2"/>
      <c r="K420" s="2"/>
      <c r="L420" s="2"/>
      <c r="M420" s="2"/>
      <c r="N420" s="2"/>
      <c r="O420" s="2"/>
      <c r="P420" s="2"/>
      <c r="Q420" s="2"/>
      <c r="R420" s="2"/>
      <c r="S420" s="2"/>
      <c r="T420" s="2"/>
      <c r="U420" s="2"/>
      <c r="V420" s="2"/>
      <c r="W420" s="2"/>
      <c r="X420" s="2"/>
      <c r="Y420" s="2"/>
      <c r="Z420" s="2"/>
      <c r="AA420" s="2"/>
      <c r="AB420" s="2"/>
    </row>
    <row r="421" spans="1:28" ht="13">
      <c r="A421" s="2"/>
      <c r="B421" s="2"/>
      <c r="C421" s="2"/>
      <c r="D421" s="2"/>
      <c r="E421" s="2"/>
      <c r="F421" s="2"/>
      <c r="G421" s="43"/>
      <c r="H421" s="2"/>
      <c r="I421" s="2"/>
      <c r="J421" s="2"/>
      <c r="K421" s="2"/>
      <c r="L421" s="2"/>
      <c r="M421" s="2"/>
      <c r="N421" s="2"/>
      <c r="O421" s="2"/>
      <c r="P421" s="2"/>
      <c r="Q421" s="2"/>
      <c r="R421" s="2"/>
      <c r="S421" s="2"/>
      <c r="T421" s="2"/>
      <c r="U421" s="2"/>
      <c r="V421" s="2"/>
      <c r="W421" s="2"/>
      <c r="X421" s="2"/>
      <c r="Y421" s="2"/>
      <c r="Z421" s="2"/>
      <c r="AA421" s="2"/>
      <c r="AB421" s="2"/>
    </row>
    <row r="422" spans="1:28" ht="13">
      <c r="A422" s="2"/>
      <c r="B422" s="2"/>
      <c r="C422" s="2"/>
      <c r="D422" s="2"/>
      <c r="E422" s="2"/>
      <c r="F422" s="2"/>
      <c r="G422" s="43"/>
      <c r="H422" s="2"/>
      <c r="I422" s="2"/>
      <c r="J422" s="2"/>
      <c r="K422" s="2"/>
      <c r="L422" s="2"/>
      <c r="M422" s="2"/>
      <c r="N422" s="2"/>
      <c r="O422" s="2"/>
      <c r="P422" s="2"/>
      <c r="Q422" s="2"/>
      <c r="R422" s="2"/>
      <c r="S422" s="2"/>
      <c r="T422" s="2"/>
      <c r="U422" s="2"/>
      <c r="V422" s="2"/>
      <c r="W422" s="2"/>
      <c r="X422" s="2"/>
      <c r="Y422" s="2"/>
      <c r="Z422" s="2"/>
      <c r="AA422" s="2"/>
      <c r="AB422" s="2"/>
    </row>
    <row r="423" spans="1:28" ht="13">
      <c r="A423" s="2"/>
      <c r="B423" s="2"/>
      <c r="C423" s="2"/>
      <c r="D423" s="2"/>
      <c r="E423" s="2"/>
      <c r="F423" s="2"/>
      <c r="G423" s="43"/>
      <c r="H423" s="2"/>
      <c r="I423" s="2"/>
      <c r="J423" s="2"/>
      <c r="K423" s="2"/>
      <c r="L423" s="2"/>
      <c r="M423" s="2"/>
      <c r="N423" s="2"/>
      <c r="O423" s="2"/>
      <c r="P423" s="2"/>
      <c r="Q423" s="2"/>
      <c r="R423" s="2"/>
      <c r="S423" s="2"/>
      <c r="T423" s="2"/>
      <c r="U423" s="2"/>
      <c r="V423" s="2"/>
      <c r="W423" s="2"/>
      <c r="X423" s="2"/>
      <c r="Y423" s="2"/>
      <c r="Z423" s="2"/>
      <c r="AA423" s="2"/>
      <c r="AB423" s="2"/>
    </row>
    <row r="424" spans="1:28" ht="13">
      <c r="A424" s="2"/>
      <c r="B424" s="2"/>
      <c r="C424" s="2"/>
      <c r="D424" s="2"/>
      <c r="E424" s="2"/>
      <c r="F424" s="2"/>
      <c r="G424" s="43"/>
      <c r="H424" s="2"/>
      <c r="I424" s="2"/>
      <c r="J424" s="2"/>
      <c r="K424" s="2"/>
      <c r="L424" s="2"/>
      <c r="M424" s="2"/>
      <c r="N424" s="2"/>
      <c r="O424" s="2"/>
      <c r="P424" s="2"/>
      <c r="Q424" s="2"/>
      <c r="R424" s="2"/>
      <c r="S424" s="2"/>
      <c r="T424" s="2"/>
      <c r="U424" s="2"/>
      <c r="V424" s="2"/>
      <c r="W424" s="2"/>
      <c r="X424" s="2"/>
      <c r="Y424" s="2"/>
      <c r="Z424" s="2"/>
      <c r="AA424" s="2"/>
      <c r="AB424" s="2"/>
    </row>
    <row r="425" spans="1:28" ht="13">
      <c r="A425" s="2"/>
      <c r="B425" s="2"/>
      <c r="C425" s="2"/>
      <c r="D425" s="2"/>
      <c r="E425" s="2"/>
      <c r="F425" s="2"/>
      <c r="G425" s="43"/>
      <c r="H425" s="2"/>
      <c r="I425" s="2"/>
      <c r="J425" s="2"/>
      <c r="K425" s="2"/>
      <c r="L425" s="2"/>
      <c r="M425" s="2"/>
      <c r="N425" s="2"/>
      <c r="O425" s="2"/>
      <c r="P425" s="2"/>
      <c r="Q425" s="2"/>
      <c r="R425" s="2"/>
      <c r="S425" s="2"/>
      <c r="T425" s="2"/>
      <c r="U425" s="2"/>
      <c r="V425" s="2"/>
      <c r="W425" s="2"/>
      <c r="X425" s="2"/>
      <c r="Y425" s="2"/>
      <c r="Z425" s="2"/>
      <c r="AA425" s="2"/>
      <c r="AB425" s="2"/>
    </row>
    <row r="426" spans="1:28" ht="13">
      <c r="A426" s="2"/>
      <c r="B426" s="2"/>
      <c r="C426" s="2"/>
      <c r="D426" s="2"/>
      <c r="E426" s="2"/>
      <c r="F426" s="2"/>
      <c r="G426" s="43"/>
      <c r="H426" s="2"/>
      <c r="I426" s="2"/>
      <c r="J426" s="2"/>
      <c r="K426" s="2"/>
      <c r="L426" s="2"/>
      <c r="M426" s="2"/>
      <c r="N426" s="2"/>
      <c r="O426" s="2"/>
      <c r="P426" s="2"/>
      <c r="Q426" s="2"/>
      <c r="R426" s="2"/>
      <c r="S426" s="2"/>
      <c r="T426" s="2"/>
      <c r="U426" s="2"/>
      <c r="V426" s="2"/>
      <c r="W426" s="2"/>
      <c r="X426" s="2"/>
      <c r="Y426" s="2"/>
      <c r="Z426" s="2"/>
      <c r="AA426" s="2"/>
      <c r="AB426" s="2"/>
    </row>
    <row r="427" spans="1:28" ht="13">
      <c r="A427" s="2"/>
      <c r="B427" s="2"/>
      <c r="C427" s="2"/>
      <c r="D427" s="2"/>
      <c r="E427" s="2"/>
      <c r="F427" s="2"/>
      <c r="G427" s="43"/>
      <c r="H427" s="2"/>
      <c r="I427" s="2"/>
      <c r="J427" s="2"/>
      <c r="K427" s="2"/>
      <c r="L427" s="2"/>
      <c r="M427" s="2"/>
      <c r="N427" s="2"/>
      <c r="O427" s="2"/>
      <c r="P427" s="2"/>
      <c r="Q427" s="2"/>
      <c r="R427" s="2"/>
      <c r="S427" s="2"/>
      <c r="T427" s="2"/>
      <c r="U427" s="2"/>
      <c r="V427" s="2"/>
      <c r="W427" s="2"/>
      <c r="X427" s="2"/>
      <c r="Y427" s="2"/>
      <c r="Z427" s="2"/>
      <c r="AA427" s="2"/>
      <c r="AB427" s="2"/>
    </row>
    <row r="428" spans="1:28" ht="13">
      <c r="A428" s="2"/>
      <c r="B428" s="2"/>
      <c r="C428" s="2"/>
      <c r="D428" s="2"/>
      <c r="E428" s="2"/>
      <c r="F428" s="2"/>
      <c r="G428" s="43"/>
      <c r="H428" s="2"/>
      <c r="I428" s="2"/>
      <c r="J428" s="2"/>
      <c r="K428" s="2"/>
      <c r="L428" s="2"/>
      <c r="M428" s="2"/>
      <c r="N428" s="2"/>
      <c r="O428" s="2"/>
      <c r="P428" s="2"/>
      <c r="Q428" s="2"/>
      <c r="R428" s="2"/>
      <c r="S428" s="2"/>
      <c r="T428" s="2"/>
      <c r="U428" s="2"/>
      <c r="V428" s="2"/>
      <c r="W428" s="2"/>
      <c r="X428" s="2"/>
      <c r="Y428" s="2"/>
      <c r="Z428" s="2"/>
      <c r="AA428" s="2"/>
      <c r="AB428" s="2"/>
    </row>
    <row r="429" spans="1:28" ht="13">
      <c r="A429" s="2"/>
      <c r="B429" s="2"/>
      <c r="C429" s="2"/>
      <c r="D429" s="2"/>
      <c r="E429" s="2"/>
      <c r="F429" s="2"/>
      <c r="G429" s="43"/>
      <c r="H429" s="2"/>
      <c r="I429" s="2"/>
      <c r="J429" s="2"/>
      <c r="K429" s="2"/>
      <c r="L429" s="2"/>
      <c r="M429" s="2"/>
      <c r="N429" s="2"/>
      <c r="O429" s="2"/>
      <c r="P429" s="2"/>
      <c r="Q429" s="2"/>
      <c r="R429" s="2"/>
      <c r="S429" s="2"/>
      <c r="T429" s="2"/>
      <c r="U429" s="2"/>
      <c r="V429" s="2"/>
      <c r="W429" s="2"/>
      <c r="X429" s="2"/>
      <c r="Y429" s="2"/>
      <c r="Z429" s="2"/>
      <c r="AA429" s="2"/>
      <c r="AB429" s="2"/>
    </row>
    <row r="430" spans="1:28" ht="13">
      <c r="A430" s="2"/>
      <c r="B430" s="2"/>
      <c r="C430" s="2"/>
      <c r="D430" s="2"/>
      <c r="E430" s="2"/>
      <c r="F430" s="2"/>
      <c r="G430" s="43"/>
      <c r="H430" s="2"/>
      <c r="I430" s="2"/>
      <c r="J430" s="2"/>
      <c r="K430" s="2"/>
      <c r="L430" s="2"/>
      <c r="M430" s="2"/>
      <c r="N430" s="2"/>
      <c r="O430" s="2"/>
      <c r="P430" s="2"/>
      <c r="Q430" s="2"/>
      <c r="R430" s="2"/>
      <c r="S430" s="2"/>
      <c r="T430" s="2"/>
      <c r="U430" s="2"/>
      <c r="V430" s="2"/>
      <c r="W430" s="2"/>
      <c r="X430" s="2"/>
      <c r="Y430" s="2"/>
      <c r="Z430" s="2"/>
      <c r="AA430" s="2"/>
      <c r="AB430" s="2"/>
    </row>
    <row r="431" spans="1:28" ht="13">
      <c r="A431" s="2"/>
      <c r="B431" s="2"/>
      <c r="C431" s="2"/>
      <c r="D431" s="2"/>
      <c r="E431" s="2"/>
      <c r="F431" s="2"/>
      <c r="G431" s="43"/>
      <c r="H431" s="2"/>
      <c r="I431" s="2"/>
      <c r="J431" s="2"/>
      <c r="K431" s="2"/>
      <c r="L431" s="2"/>
      <c r="M431" s="2"/>
      <c r="N431" s="2"/>
      <c r="O431" s="2"/>
      <c r="P431" s="2"/>
      <c r="Q431" s="2"/>
      <c r="R431" s="2"/>
      <c r="S431" s="2"/>
      <c r="T431" s="2"/>
      <c r="U431" s="2"/>
      <c r="V431" s="2"/>
      <c r="W431" s="2"/>
      <c r="X431" s="2"/>
      <c r="Y431" s="2"/>
      <c r="Z431" s="2"/>
      <c r="AA431" s="2"/>
      <c r="AB431" s="2"/>
    </row>
    <row r="432" spans="1:28" ht="13">
      <c r="A432" s="2"/>
      <c r="B432" s="2"/>
      <c r="C432" s="2"/>
      <c r="D432" s="2"/>
      <c r="E432" s="2"/>
      <c r="F432" s="2"/>
      <c r="G432" s="43"/>
      <c r="H432" s="2"/>
      <c r="I432" s="2"/>
      <c r="J432" s="2"/>
      <c r="K432" s="2"/>
      <c r="L432" s="2"/>
      <c r="M432" s="2"/>
      <c r="N432" s="2"/>
      <c r="O432" s="2"/>
      <c r="P432" s="2"/>
      <c r="Q432" s="2"/>
      <c r="R432" s="2"/>
      <c r="S432" s="2"/>
      <c r="T432" s="2"/>
      <c r="U432" s="2"/>
      <c r="V432" s="2"/>
      <c r="W432" s="2"/>
      <c r="X432" s="2"/>
      <c r="Y432" s="2"/>
      <c r="Z432" s="2"/>
      <c r="AA432" s="2"/>
      <c r="AB432" s="2"/>
    </row>
    <row r="433" spans="1:28" ht="13">
      <c r="A433" s="2"/>
      <c r="B433" s="2"/>
      <c r="C433" s="2"/>
      <c r="D433" s="2"/>
      <c r="E433" s="2"/>
      <c r="F433" s="2"/>
      <c r="G433" s="43"/>
      <c r="H433" s="2"/>
      <c r="I433" s="2"/>
      <c r="J433" s="2"/>
      <c r="K433" s="2"/>
      <c r="L433" s="2"/>
      <c r="M433" s="2"/>
      <c r="N433" s="2"/>
      <c r="O433" s="2"/>
      <c r="P433" s="2"/>
      <c r="Q433" s="2"/>
      <c r="R433" s="2"/>
      <c r="S433" s="2"/>
      <c r="T433" s="2"/>
      <c r="U433" s="2"/>
      <c r="V433" s="2"/>
      <c r="W433" s="2"/>
      <c r="X433" s="2"/>
      <c r="Y433" s="2"/>
      <c r="Z433" s="2"/>
      <c r="AA433" s="2"/>
      <c r="AB433" s="2"/>
    </row>
    <row r="434" spans="1:28" ht="13">
      <c r="A434" s="2"/>
      <c r="B434" s="2"/>
      <c r="C434" s="2"/>
      <c r="D434" s="2"/>
      <c r="E434" s="2"/>
      <c r="F434" s="2"/>
      <c r="G434" s="43"/>
      <c r="H434" s="2"/>
      <c r="I434" s="2"/>
      <c r="J434" s="2"/>
      <c r="K434" s="2"/>
      <c r="L434" s="2"/>
      <c r="M434" s="2"/>
      <c r="N434" s="2"/>
      <c r="O434" s="2"/>
      <c r="P434" s="2"/>
      <c r="Q434" s="2"/>
      <c r="R434" s="2"/>
      <c r="S434" s="2"/>
      <c r="T434" s="2"/>
      <c r="U434" s="2"/>
      <c r="V434" s="2"/>
      <c r="W434" s="2"/>
      <c r="X434" s="2"/>
      <c r="Y434" s="2"/>
      <c r="Z434" s="2"/>
      <c r="AA434" s="2"/>
      <c r="AB434" s="2"/>
    </row>
    <row r="435" spans="1:28" ht="13">
      <c r="A435" s="2"/>
      <c r="B435" s="2"/>
      <c r="C435" s="2"/>
      <c r="D435" s="2"/>
      <c r="E435" s="2"/>
      <c r="F435" s="2"/>
      <c r="G435" s="43"/>
      <c r="H435" s="2"/>
      <c r="I435" s="2"/>
      <c r="J435" s="2"/>
      <c r="K435" s="2"/>
      <c r="L435" s="2"/>
      <c r="M435" s="2"/>
      <c r="N435" s="2"/>
      <c r="O435" s="2"/>
      <c r="P435" s="2"/>
      <c r="Q435" s="2"/>
      <c r="R435" s="2"/>
      <c r="S435" s="2"/>
      <c r="T435" s="2"/>
      <c r="U435" s="2"/>
      <c r="V435" s="2"/>
      <c r="W435" s="2"/>
      <c r="X435" s="2"/>
      <c r="Y435" s="2"/>
      <c r="Z435" s="2"/>
      <c r="AA435" s="2"/>
      <c r="AB435" s="2"/>
    </row>
    <row r="436" spans="1:28" ht="13">
      <c r="A436" s="2"/>
      <c r="B436" s="2"/>
      <c r="C436" s="2"/>
      <c r="D436" s="2"/>
      <c r="E436" s="2"/>
      <c r="F436" s="2"/>
      <c r="G436" s="43"/>
      <c r="H436" s="2"/>
      <c r="I436" s="2"/>
      <c r="J436" s="2"/>
      <c r="K436" s="2"/>
      <c r="L436" s="2"/>
      <c r="M436" s="2"/>
      <c r="N436" s="2"/>
      <c r="O436" s="2"/>
      <c r="P436" s="2"/>
      <c r="Q436" s="2"/>
      <c r="R436" s="2"/>
      <c r="S436" s="2"/>
      <c r="T436" s="2"/>
      <c r="U436" s="2"/>
      <c r="V436" s="2"/>
      <c r="W436" s="2"/>
      <c r="X436" s="2"/>
      <c r="Y436" s="2"/>
      <c r="Z436" s="2"/>
      <c r="AA436" s="2"/>
      <c r="AB436" s="2"/>
    </row>
    <row r="437" spans="1:28" ht="13">
      <c r="A437" s="2"/>
      <c r="B437" s="2"/>
      <c r="C437" s="2"/>
      <c r="D437" s="2"/>
      <c r="E437" s="2"/>
      <c r="F437" s="2"/>
      <c r="G437" s="43"/>
      <c r="H437" s="2"/>
      <c r="I437" s="2"/>
      <c r="J437" s="2"/>
      <c r="K437" s="2"/>
      <c r="L437" s="2"/>
      <c r="M437" s="2"/>
      <c r="N437" s="2"/>
      <c r="O437" s="2"/>
      <c r="P437" s="2"/>
      <c r="Q437" s="2"/>
      <c r="R437" s="2"/>
      <c r="S437" s="2"/>
      <c r="T437" s="2"/>
      <c r="U437" s="2"/>
      <c r="V437" s="2"/>
      <c r="W437" s="2"/>
      <c r="X437" s="2"/>
      <c r="Y437" s="2"/>
      <c r="Z437" s="2"/>
      <c r="AA437" s="2"/>
      <c r="AB437" s="2"/>
    </row>
    <row r="438" spans="1:28" ht="13">
      <c r="A438" s="2"/>
      <c r="B438" s="2"/>
      <c r="C438" s="2"/>
      <c r="D438" s="2"/>
      <c r="E438" s="2"/>
      <c r="F438" s="2"/>
      <c r="G438" s="43"/>
      <c r="H438" s="2"/>
      <c r="I438" s="2"/>
      <c r="J438" s="2"/>
      <c r="K438" s="2"/>
      <c r="L438" s="2"/>
      <c r="M438" s="2"/>
      <c r="N438" s="2"/>
      <c r="O438" s="2"/>
      <c r="P438" s="2"/>
      <c r="Q438" s="2"/>
      <c r="R438" s="2"/>
      <c r="S438" s="2"/>
      <c r="T438" s="2"/>
      <c r="U438" s="2"/>
      <c r="V438" s="2"/>
      <c r="W438" s="2"/>
      <c r="X438" s="2"/>
      <c r="Y438" s="2"/>
      <c r="Z438" s="2"/>
      <c r="AA438" s="2"/>
      <c r="AB438" s="2"/>
    </row>
    <row r="439" spans="1:28" ht="13">
      <c r="A439" s="2"/>
      <c r="B439" s="2"/>
      <c r="C439" s="2"/>
      <c r="D439" s="2"/>
      <c r="E439" s="2"/>
      <c r="F439" s="2"/>
      <c r="G439" s="43"/>
      <c r="H439" s="2"/>
      <c r="I439" s="2"/>
      <c r="J439" s="2"/>
      <c r="K439" s="2"/>
      <c r="L439" s="2"/>
      <c r="M439" s="2"/>
      <c r="N439" s="2"/>
      <c r="O439" s="2"/>
      <c r="P439" s="2"/>
      <c r="Q439" s="2"/>
      <c r="R439" s="2"/>
      <c r="S439" s="2"/>
      <c r="T439" s="2"/>
      <c r="U439" s="2"/>
      <c r="V439" s="2"/>
      <c r="W439" s="2"/>
      <c r="X439" s="2"/>
      <c r="Y439" s="2"/>
      <c r="Z439" s="2"/>
      <c r="AA439" s="2"/>
      <c r="AB439" s="2"/>
    </row>
    <row r="440" spans="1:28" ht="13">
      <c r="A440" s="2"/>
      <c r="B440" s="2"/>
      <c r="C440" s="2"/>
      <c r="D440" s="2"/>
      <c r="E440" s="2"/>
      <c r="F440" s="2"/>
      <c r="G440" s="43"/>
      <c r="H440" s="2"/>
      <c r="I440" s="2"/>
      <c r="J440" s="2"/>
      <c r="K440" s="2"/>
      <c r="L440" s="2"/>
      <c r="M440" s="2"/>
      <c r="N440" s="2"/>
      <c r="O440" s="2"/>
      <c r="P440" s="2"/>
      <c r="Q440" s="2"/>
      <c r="R440" s="2"/>
      <c r="S440" s="2"/>
      <c r="T440" s="2"/>
      <c r="U440" s="2"/>
      <c r="V440" s="2"/>
      <c r="W440" s="2"/>
      <c r="X440" s="2"/>
      <c r="Y440" s="2"/>
      <c r="Z440" s="2"/>
      <c r="AA440" s="2"/>
      <c r="AB440" s="2"/>
    </row>
    <row r="441" spans="1:28" ht="13">
      <c r="A441" s="2"/>
      <c r="B441" s="2"/>
      <c r="C441" s="2"/>
      <c r="D441" s="2"/>
      <c r="E441" s="2"/>
      <c r="F441" s="2"/>
      <c r="G441" s="43"/>
      <c r="H441" s="2"/>
      <c r="I441" s="2"/>
      <c r="J441" s="2"/>
      <c r="K441" s="2"/>
      <c r="L441" s="2"/>
      <c r="M441" s="2"/>
      <c r="N441" s="2"/>
      <c r="O441" s="2"/>
      <c r="P441" s="2"/>
      <c r="Q441" s="2"/>
      <c r="R441" s="2"/>
      <c r="S441" s="2"/>
      <c r="T441" s="2"/>
      <c r="U441" s="2"/>
      <c r="V441" s="2"/>
      <c r="W441" s="2"/>
      <c r="X441" s="2"/>
      <c r="Y441" s="2"/>
      <c r="Z441" s="2"/>
      <c r="AA441" s="2"/>
      <c r="AB441" s="2"/>
    </row>
    <row r="442" spans="1:28" ht="13">
      <c r="A442" s="2"/>
      <c r="B442" s="2"/>
      <c r="C442" s="2"/>
      <c r="D442" s="2"/>
      <c r="E442" s="2"/>
      <c r="F442" s="2"/>
      <c r="G442" s="43"/>
      <c r="H442" s="2"/>
      <c r="I442" s="2"/>
      <c r="J442" s="2"/>
      <c r="K442" s="2"/>
      <c r="L442" s="2"/>
      <c r="M442" s="2"/>
      <c r="N442" s="2"/>
      <c r="O442" s="2"/>
      <c r="P442" s="2"/>
      <c r="Q442" s="2"/>
      <c r="R442" s="2"/>
      <c r="S442" s="2"/>
      <c r="T442" s="2"/>
      <c r="U442" s="2"/>
      <c r="V442" s="2"/>
      <c r="W442" s="2"/>
      <c r="X442" s="2"/>
      <c r="Y442" s="2"/>
      <c r="Z442" s="2"/>
      <c r="AA442" s="2"/>
      <c r="AB442" s="2"/>
    </row>
    <row r="443" spans="1:28" ht="13">
      <c r="A443" s="2"/>
      <c r="B443" s="2"/>
      <c r="C443" s="2"/>
      <c r="D443" s="2"/>
      <c r="E443" s="2"/>
      <c r="F443" s="2"/>
      <c r="G443" s="43"/>
      <c r="H443" s="2"/>
      <c r="I443" s="2"/>
      <c r="J443" s="2"/>
      <c r="K443" s="2"/>
      <c r="L443" s="2"/>
      <c r="M443" s="2"/>
      <c r="N443" s="2"/>
      <c r="O443" s="2"/>
      <c r="P443" s="2"/>
      <c r="Q443" s="2"/>
      <c r="R443" s="2"/>
      <c r="S443" s="2"/>
      <c r="T443" s="2"/>
      <c r="U443" s="2"/>
      <c r="V443" s="2"/>
      <c r="W443" s="2"/>
      <c r="X443" s="2"/>
      <c r="Y443" s="2"/>
      <c r="Z443" s="2"/>
      <c r="AA443" s="2"/>
      <c r="AB443" s="2"/>
    </row>
    <row r="444" spans="1:28" ht="13">
      <c r="A444" s="2"/>
      <c r="B444" s="2"/>
      <c r="C444" s="2"/>
      <c r="D444" s="2"/>
      <c r="E444" s="2"/>
      <c r="F444" s="2"/>
      <c r="G444" s="43"/>
      <c r="H444" s="2"/>
      <c r="I444" s="2"/>
      <c r="J444" s="2"/>
      <c r="K444" s="2"/>
      <c r="L444" s="2"/>
      <c r="M444" s="2"/>
      <c r="N444" s="2"/>
      <c r="O444" s="2"/>
      <c r="P444" s="2"/>
      <c r="Q444" s="2"/>
      <c r="R444" s="2"/>
      <c r="S444" s="2"/>
      <c r="T444" s="2"/>
      <c r="U444" s="2"/>
      <c r="V444" s="2"/>
      <c r="W444" s="2"/>
      <c r="X444" s="2"/>
      <c r="Y444" s="2"/>
      <c r="Z444" s="2"/>
      <c r="AA444" s="2"/>
      <c r="AB444" s="2"/>
    </row>
    <row r="445" spans="1:28" ht="13">
      <c r="A445" s="2"/>
      <c r="B445" s="2"/>
      <c r="C445" s="2"/>
      <c r="D445" s="2"/>
      <c r="E445" s="2"/>
      <c r="F445" s="2"/>
      <c r="G445" s="43"/>
      <c r="H445" s="2"/>
      <c r="I445" s="2"/>
      <c r="J445" s="2"/>
      <c r="K445" s="2"/>
      <c r="L445" s="2"/>
      <c r="M445" s="2"/>
      <c r="N445" s="2"/>
      <c r="O445" s="2"/>
      <c r="P445" s="2"/>
      <c r="Q445" s="2"/>
      <c r="R445" s="2"/>
      <c r="S445" s="2"/>
      <c r="T445" s="2"/>
      <c r="U445" s="2"/>
      <c r="V445" s="2"/>
      <c r="W445" s="2"/>
      <c r="X445" s="2"/>
      <c r="Y445" s="2"/>
      <c r="Z445" s="2"/>
      <c r="AA445" s="2"/>
      <c r="AB445" s="2"/>
    </row>
    <row r="446" spans="1:28" ht="13">
      <c r="A446" s="2"/>
      <c r="B446" s="2"/>
      <c r="C446" s="2"/>
      <c r="D446" s="2"/>
      <c r="E446" s="2"/>
      <c r="F446" s="2"/>
      <c r="G446" s="43"/>
      <c r="H446" s="2"/>
      <c r="I446" s="2"/>
      <c r="J446" s="2"/>
      <c r="K446" s="2"/>
      <c r="L446" s="2"/>
      <c r="M446" s="2"/>
      <c r="N446" s="2"/>
      <c r="O446" s="2"/>
      <c r="P446" s="2"/>
      <c r="Q446" s="2"/>
      <c r="R446" s="2"/>
      <c r="S446" s="2"/>
      <c r="T446" s="2"/>
      <c r="U446" s="2"/>
      <c r="V446" s="2"/>
      <c r="W446" s="2"/>
      <c r="X446" s="2"/>
      <c r="Y446" s="2"/>
      <c r="Z446" s="2"/>
      <c r="AA446" s="2"/>
      <c r="AB446" s="2"/>
    </row>
    <row r="447" spans="1:28" ht="13">
      <c r="A447" s="2"/>
      <c r="B447" s="2"/>
      <c r="C447" s="2"/>
      <c r="D447" s="2"/>
      <c r="E447" s="2"/>
      <c r="F447" s="2"/>
      <c r="G447" s="43"/>
      <c r="H447" s="2"/>
      <c r="I447" s="2"/>
      <c r="J447" s="2"/>
      <c r="K447" s="2"/>
      <c r="L447" s="2"/>
      <c r="M447" s="2"/>
      <c r="N447" s="2"/>
      <c r="O447" s="2"/>
      <c r="P447" s="2"/>
      <c r="Q447" s="2"/>
      <c r="R447" s="2"/>
      <c r="S447" s="2"/>
      <c r="T447" s="2"/>
      <c r="U447" s="2"/>
      <c r="V447" s="2"/>
      <c r="W447" s="2"/>
      <c r="X447" s="2"/>
      <c r="Y447" s="2"/>
      <c r="Z447" s="2"/>
      <c r="AA447" s="2"/>
      <c r="AB447" s="2"/>
    </row>
    <row r="448" spans="1:28" ht="13">
      <c r="A448" s="2"/>
      <c r="B448" s="2"/>
      <c r="C448" s="2"/>
      <c r="D448" s="2"/>
      <c r="E448" s="2"/>
      <c r="F448" s="2"/>
      <c r="G448" s="43"/>
      <c r="H448" s="2"/>
      <c r="I448" s="2"/>
      <c r="J448" s="2"/>
      <c r="K448" s="2"/>
      <c r="L448" s="2"/>
      <c r="M448" s="2"/>
      <c r="N448" s="2"/>
      <c r="O448" s="2"/>
      <c r="P448" s="2"/>
      <c r="Q448" s="2"/>
      <c r="R448" s="2"/>
      <c r="S448" s="2"/>
      <c r="T448" s="2"/>
      <c r="U448" s="2"/>
      <c r="V448" s="2"/>
      <c r="W448" s="2"/>
      <c r="X448" s="2"/>
      <c r="Y448" s="2"/>
      <c r="Z448" s="2"/>
      <c r="AA448" s="2"/>
      <c r="AB448" s="2"/>
    </row>
    <row r="449" spans="1:28" ht="13">
      <c r="A449" s="2"/>
      <c r="B449" s="2"/>
      <c r="C449" s="2"/>
      <c r="D449" s="2"/>
      <c r="E449" s="2"/>
      <c r="F449" s="2"/>
      <c r="G449" s="43"/>
      <c r="H449" s="2"/>
      <c r="I449" s="2"/>
      <c r="J449" s="2"/>
      <c r="K449" s="2"/>
      <c r="L449" s="2"/>
      <c r="M449" s="2"/>
      <c r="N449" s="2"/>
      <c r="O449" s="2"/>
      <c r="P449" s="2"/>
      <c r="Q449" s="2"/>
      <c r="R449" s="2"/>
      <c r="S449" s="2"/>
      <c r="T449" s="2"/>
      <c r="U449" s="2"/>
      <c r="V449" s="2"/>
      <c r="W449" s="2"/>
      <c r="X449" s="2"/>
      <c r="Y449" s="2"/>
      <c r="Z449" s="2"/>
      <c r="AA449" s="2"/>
      <c r="AB449" s="2"/>
    </row>
    <row r="450" spans="1:28" ht="13">
      <c r="A450" s="2"/>
      <c r="B450" s="2"/>
      <c r="C450" s="2"/>
      <c r="D450" s="2"/>
      <c r="E450" s="2"/>
      <c r="F450" s="2"/>
      <c r="G450" s="43"/>
      <c r="H450" s="2"/>
      <c r="I450" s="2"/>
      <c r="J450" s="2"/>
      <c r="K450" s="2"/>
      <c r="L450" s="2"/>
      <c r="M450" s="2"/>
      <c r="N450" s="2"/>
      <c r="O450" s="2"/>
      <c r="P450" s="2"/>
      <c r="Q450" s="2"/>
      <c r="R450" s="2"/>
      <c r="S450" s="2"/>
      <c r="T450" s="2"/>
      <c r="U450" s="2"/>
      <c r="V450" s="2"/>
      <c r="W450" s="2"/>
      <c r="X450" s="2"/>
      <c r="Y450" s="2"/>
      <c r="Z450" s="2"/>
      <c r="AA450" s="2"/>
      <c r="AB450" s="2"/>
    </row>
    <row r="451" spans="1:28" ht="13">
      <c r="A451" s="2"/>
      <c r="B451" s="2"/>
      <c r="C451" s="2"/>
      <c r="D451" s="2"/>
      <c r="E451" s="2"/>
      <c r="F451" s="2"/>
      <c r="G451" s="43"/>
      <c r="H451" s="2"/>
      <c r="I451" s="2"/>
      <c r="J451" s="2"/>
      <c r="K451" s="2"/>
      <c r="L451" s="2"/>
      <c r="M451" s="2"/>
      <c r="N451" s="2"/>
      <c r="O451" s="2"/>
      <c r="P451" s="2"/>
      <c r="Q451" s="2"/>
      <c r="R451" s="2"/>
      <c r="S451" s="2"/>
      <c r="T451" s="2"/>
      <c r="U451" s="2"/>
      <c r="V451" s="2"/>
      <c r="W451" s="2"/>
      <c r="X451" s="2"/>
      <c r="Y451" s="2"/>
      <c r="Z451" s="2"/>
      <c r="AA451" s="2"/>
      <c r="AB451" s="2"/>
    </row>
    <row r="452" spans="1:28" ht="13">
      <c r="A452" s="2"/>
      <c r="B452" s="2"/>
      <c r="C452" s="2"/>
      <c r="D452" s="2"/>
      <c r="E452" s="2"/>
      <c r="F452" s="2"/>
      <c r="G452" s="43"/>
      <c r="H452" s="2"/>
      <c r="I452" s="2"/>
      <c r="J452" s="2"/>
      <c r="K452" s="2"/>
      <c r="L452" s="2"/>
      <c r="M452" s="2"/>
      <c r="N452" s="2"/>
      <c r="O452" s="2"/>
      <c r="P452" s="2"/>
      <c r="Q452" s="2"/>
      <c r="R452" s="2"/>
      <c r="S452" s="2"/>
      <c r="T452" s="2"/>
      <c r="U452" s="2"/>
      <c r="V452" s="2"/>
      <c r="W452" s="2"/>
      <c r="X452" s="2"/>
      <c r="Y452" s="2"/>
      <c r="Z452" s="2"/>
      <c r="AA452" s="2"/>
      <c r="AB452" s="2"/>
    </row>
    <row r="453" spans="1:28" ht="13">
      <c r="A453" s="2"/>
      <c r="B453" s="2"/>
      <c r="C453" s="2"/>
      <c r="D453" s="2"/>
      <c r="E453" s="2"/>
      <c r="F453" s="2"/>
      <c r="G453" s="43"/>
      <c r="H453" s="2"/>
      <c r="I453" s="2"/>
      <c r="J453" s="2"/>
      <c r="K453" s="2"/>
      <c r="L453" s="2"/>
      <c r="M453" s="2"/>
      <c r="N453" s="2"/>
      <c r="O453" s="2"/>
      <c r="P453" s="2"/>
      <c r="Q453" s="2"/>
      <c r="R453" s="2"/>
      <c r="S453" s="2"/>
      <c r="T453" s="2"/>
      <c r="U453" s="2"/>
      <c r="V453" s="2"/>
      <c r="W453" s="2"/>
      <c r="X453" s="2"/>
      <c r="Y453" s="2"/>
      <c r="Z453" s="2"/>
      <c r="AA453" s="2"/>
      <c r="AB453" s="2"/>
    </row>
    <row r="454" spans="1:28" ht="13">
      <c r="A454" s="2"/>
      <c r="B454" s="2"/>
      <c r="C454" s="2"/>
      <c r="D454" s="2"/>
      <c r="E454" s="2"/>
      <c r="F454" s="2"/>
      <c r="G454" s="43"/>
      <c r="H454" s="2"/>
      <c r="I454" s="2"/>
      <c r="J454" s="2"/>
      <c r="K454" s="2"/>
      <c r="L454" s="2"/>
      <c r="M454" s="2"/>
      <c r="N454" s="2"/>
      <c r="O454" s="2"/>
      <c r="P454" s="2"/>
      <c r="Q454" s="2"/>
      <c r="R454" s="2"/>
      <c r="S454" s="2"/>
      <c r="T454" s="2"/>
      <c r="U454" s="2"/>
      <c r="V454" s="2"/>
      <c r="W454" s="2"/>
      <c r="X454" s="2"/>
      <c r="Y454" s="2"/>
      <c r="Z454" s="2"/>
      <c r="AA454" s="2"/>
      <c r="AB454" s="2"/>
    </row>
    <row r="455" spans="1:28" ht="13">
      <c r="A455" s="2"/>
      <c r="B455" s="2"/>
      <c r="C455" s="2"/>
      <c r="D455" s="2"/>
      <c r="E455" s="2"/>
      <c r="F455" s="2"/>
      <c r="G455" s="43"/>
      <c r="H455" s="2"/>
      <c r="I455" s="2"/>
      <c r="J455" s="2"/>
      <c r="K455" s="2"/>
      <c r="L455" s="2"/>
      <c r="M455" s="2"/>
      <c r="N455" s="2"/>
      <c r="O455" s="2"/>
      <c r="P455" s="2"/>
      <c r="Q455" s="2"/>
      <c r="R455" s="2"/>
      <c r="S455" s="2"/>
      <c r="T455" s="2"/>
      <c r="U455" s="2"/>
      <c r="V455" s="2"/>
      <c r="W455" s="2"/>
      <c r="X455" s="2"/>
      <c r="Y455" s="2"/>
      <c r="Z455" s="2"/>
      <c r="AA455" s="2"/>
      <c r="AB455" s="2"/>
    </row>
    <row r="456" spans="1:28" ht="13">
      <c r="A456" s="2"/>
      <c r="B456" s="2"/>
      <c r="C456" s="2"/>
      <c r="D456" s="2"/>
      <c r="E456" s="2"/>
      <c r="F456" s="2"/>
      <c r="G456" s="43"/>
      <c r="H456" s="2"/>
      <c r="I456" s="2"/>
      <c r="J456" s="2"/>
      <c r="K456" s="2"/>
      <c r="L456" s="2"/>
      <c r="M456" s="2"/>
      <c r="N456" s="2"/>
      <c r="O456" s="2"/>
      <c r="P456" s="2"/>
      <c r="Q456" s="2"/>
      <c r="R456" s="2"/>
      <c r="S456" s="2"/>
      <c r="T456" s="2"/>
      <c r="U456" s="2"/>
      <c r="V456" s="2"/>
      <c r="W456" s="2"/>
      <c r="X456" s="2"/>
      <c r="Y456" s="2"/>
      <c r="Z456" s="2"/>
      <c r="AA456" s="2"/>
      <c r="AB456" s="2"/>
    </row>
    <row r="457" spans="1:28" ht="13">
      <c r="A457" s="2"/>
      <c r="B457" s="2"/>
      <c r="C457" s="2"/>
      <c r="D457" s="2"/>
      <c r="E457" s="2"/>
      <c r="F457" s="2"/>
      <c r="G457" s="43"/>
      <c r="H457" s="2"/>
      <c r="I457" s="2"/>
      <c r="J457" s="2"/>
      <c r="K457" s="2"/>
      <c r="L457" s="2"/>
      <c r="M457" s="2"/>
      <c r="N457" s="2"/>
      <c r="O457" s="2"/>
      <c r="P457" s="2"/>
      <c r="Q457" s="2"/>
      <c r="R457" s="2"/>
      <c r="S457" s="2"/>
      <c r="T457" s="2"/>
      <c r="U457" s="2"/>
      <c r="V457" s="2"/>
      <c r="W457" s="2"/>
      <c r="X457" s="2"/>
      <c r="Y457" s="2"/>
      <c r="Z457" s="2"/>
      <c r="AA457" s="2"/>
      <c r="AB457" s="2"/>
    </row>
    <row r="458" spans="1:28" ht="13">
      <c r="A458" s="2"/>
      <c r="B458" s="2"/>
      <c r="C458" s="2"/>
      <c r="D458" s="2"/>
      <c r="E458" s="2"/>
      <c r="F458" s="2"/>
      <c r="G458" s="43"/>
      <c r="H458" s="2"/>
      <c r="I458" s="2"/>
      <c r="J458" s="2"/>
      <c r="K458" s="2"/>
      <c r="L458" s="2"/>
      <c r="M458" s="2"/>
      <c r="N458" s="2"/>
      <c r="O458" s="2"/>
      <c r="P458" s="2"/>
      <c r="Q458" s="2"/>
      <c r="R458" s="2"/>
      <c r="S458" s="2"/>
      <c r="T458" s="2"/>
      <c r="U458" s="2"/>
      <c r="V458" s="2"/>
      <c r="W458" s="2"/>
      <c r="X458" s="2"/>
      <c r="Y458" s="2"/>
      <c r="Z458" s="2"/>
      <c r="AA458" s="2"/>
      <c r="AB458" s="2"/>
    </row>
    <row r="459" spans="1:28" ht="13">
      <c r="A459" s="2"/>
      <c r="B459" s="2"/>
      <c r="C459" s="2"/>
      <c r="D459" s="2"/>
      <c r="E459" s="2"/>
      <c r="F459" s="2"/>
      <c r="G459" s="43"/>
      <c r="H459" s="2"/>
      <c r="I459" s="2"/>
      <c r="J459" s="2"/>
      <c r="K459" s="2"/>
      <c r="L459" s="2"/>
      <c r="M459" s="2"/>
      <c r="N459" s="2"/>
      <c r="O459" s="2"/>
      <c r="P459" s="2"/>
      <c r="Q459" s="2"/>
      <c r="R459" s="2"/>
      <c r="S459" s="2"/>
      <c r="T459" s="2"/>
      <c r="U459" s="2"/>
      <c r="V459" s="2"/>
      <c r="W459" s="2"/>
      <c r="X459" s="2"/>
      <c r="Y459" s="2"/>
      <c r="Z459" s="2"/>
      <c r="AA459" s="2"/>
      <c r="AB459" s="2"/>
    </row>
    <row r="460" spans="1:28" ht="13">
      <c r="A460" s="2"/>
      <c r="B460" s="2"/>
      <c r="C460" s="2"/>
      <c r="D460" s="2"/>
      <c r="E460" s="2"/>
      <c r="F460" s="2"/>
      <c r="G460" s="43"/>
      <c r="H460" s="2"/>
      <c r="I460" s="2"/>
      <c r="J460" s="2"/>
      <c r="K460" s="2"/>
      <c r="L460" s="2"/>
      <c r="M460" s="2"/>
      <c r="N460" s="2"/>
      <c r="O460" s="2"/>
      <c r="P460" s="2"/>
      <c r="Q460" s="2"/>
      <c r="R460" s="2"/>
      <c r="S460" s="2"/>
      <c r="T460" s="2"/>
      <c r="U460" s="2"/>
      <c r="V460" s="2"/>
      <c r="W460" s="2"/>
      <c r="X460" s="2"/>
      <c r="Y460" s="2"/>
      <c r="Z460" s="2"/>
      <c r="AA460" s="2"/>
      <c r="AB460" s="2"/>
    </row>
    <row r="461" spans="1:28" ht="13">
      <c r="A461" s="2"/>
      <c r="B461" s="2"/>
      <c r="C461" s="2"/>
      <c r="D461" s="2"/>
      <c r="E461" s="2"/>
      <c r="F461" s="2"/>
      <c r="G461" s="43"/>
      <c r="H461" s="2"/>
      <c r="I461" s="2"/>
      <c r="J461" s="2"/>
      <c r="K461" s="2"/>
      <c r="L461" s="2"/>
      <c r="M461" s="2"/>
      <c r="N461" s="2"/>
      <c r="O461" s="2"/>
      <c r="P461" s="2"/>
      <c r="Q461" s="2"/>
      <c r="R461" s="2"/>
      <c r="S461" s="2"/>
      <c r="T461" s="2"/>
      <c r="U461" s="2"/>
      <c r="V461" s="2"/>
      <c r="W461" s="2"/>
      <c r="X461" s="2"/>
      <c r="Y461" s="2"/>
      <c r="Z461" s="2"/>
      <c r="AA461" s="2"/>
      <c r="AB461" s="2"/>
    </row>
    <row r="462" spans="1:28" ht="13">
      <c r="A462" s="2"/>
      <c r="B462" s="2"/>
      <c r="C462" s="2"/>
      <c r="D462" s="2"/>
      <c r="E462" s="2"/>
      <c r="F462" s="2"/>
      <c r="G462" s="43"/>
      <c r="H462" s="2"/>
      <c r="I462" s="2"/>
      <c r="J462" s="2"/>
      <c r="K462" s="2"/>
      <c r="L462" s="2"/>
      <c r="M462" s="2"/>
      <c r="N462" s="2"/>
      <c r="O462" s="2"/>
      <c r="P462" s="2"/>
      <c r="Q462" s="2"/>
      <c r="R462" s="2"/>
      <c r="S462" s="2"/>
      <c r="T462" s="2"/>
      <c r="U462" s="2"/>
      <c r="V462" s="2"/>
      <c r="W462" s="2"/>
      <c r="X462" s="2"/>
      <c r="Y462" s="2"/>
      <c r="Z462" s="2"/>
      <c r="AA462" s="2"/>
      <c r="AB462" s="2"/>
    </row>
    <row r="463" spans="1:28" ht="13">
      <c r="A463" s="2"/>
      <c r="B463" s="2"/>
      <c r="C463" s="2"/>
      <c r="D463" s="2"/>
      <c r="E463" s="2"/>
      <c r="F463" s="2"/>
      <c r="G463" s="43"/>
      <c r="H463" s="2"/>
      <c r="I463" s="2"/>
      <c r="J463" s="2"/>
      <c r="K463" s="2"/>
      <c r="L463" s="2"/>
      <c r="M463" s="2"/>
      <c r="N463" s="2"/>
      <c r="O463" s="2"/>
      <c r="P463" s="2"/>
      <c r="Q463" s="2"/>
      <c r="R463" s="2"/>
      <c r="S463" s="2"/>
      <c r="T463" s="2"/>
      <c r="U463" s="2"/>
      <c r="V463" s="2"/>
      <c r="W463" s="2"/>
      <c r="X463" s="2"/>
      <c r="Y463" s="2"/>
      <c r="Z463" s="2"/>
      <c r="AA463" s="2"/>
      <c r="AB463" s="2"/>
    </row>
    <row r="464" spans="1:28" ht="13">
      <c r="A464" s="2"/>
      <c r="B464" s="2"/>
      <c r="C464" s="2"/>
      <c r="D464" s="2"/>
      <c r="E464" s="2"/>
      <c r="F464" s="2"/>
      <c r="G464" s="43"/>
      <c r="H464" s="2"/>
      <c r="I464" s="2"/>
      <c r="J464" s="2"/>
      <c r="K464" s="2"/>
      <c r="L464" s="2"/>
      <c r="M464" s="2"/>
      <c r="N464" s="2"/>
      <c r="O464" s="2"/>
      <c r="P464" s="2"/>
      <c r="Q464" s="2"/>
      <c r="R464" s="2"/>
      <c r="S464" s="2"/>
      <c r="T464" s="2"/>
      <c r="U464" s="2"/>
      <c r="V464" s="2"/>
      <c r="W464" s="2"/>
      <c r="X464" s="2"/>
      <c r="Y464" s="2"/>
      <c r="Z464" s="2"/>
      <c r="AA464" s="2"/>
      <c r="AB464" s="2"/>
    </row>
    <row r="465" spans="1:28" ht="13">
      <c r="A465" s="2"/>
      <c r="B465" s="2"/>
      <c r="C465" s="2"/>
      <c r="D465" s="2"/>
      <c r="E465" s="2"/>
      <c r="F465" s="2"/>
      <c r="G465" s="43"/>
      <c r="H465" s="2"/>
      <c r="I465" s="2"/>
      <c r="J465" s="2"/>
      <c r="K465" s="2"/>
      <c r="L465" s="2"/>
      <c r="M465" s="2"/>
      <c r="N465" s="2"/>
      <c r="O465" s="2"/>
      <c r="P465" s="2"/>
      <c r="Q465" s="2"/>
      <c r="R465" s="2"/>
      <c r="S465" s="2"/>
      <c r="T465" s="2"/>
      <c r="U465" s="2"/>
      <c r="V465" s="2"/>
      <c r="W465" s="2"/>
      <c r="X465" s="2"/>
      <c r="Y465" s="2"/>
      <c r="Z465" s="2"/>
      <c r="AA465" s="2"/>
      <c r="AB465" s="2"/>
    </row>
    <row r="466" spans="1:28" ht="13">
      <c r="A466" s="2"/>
      <c r="B466" s="2"/>
      <c r="C466" s="2"/>
      <c r="D466" s="2"/>
      <c r="E466" s="2"/>
      <c r="F466" s="2"/>
      <c r="G466" s="43"/>
      <c r="H466" s="2"/>
      <c r="I466" s="2"/>
      <c r="J466" s="2"/>
      <c r="K466" s="2"/>
      <c r="L466" s="2"/>
      <c r="M466" s="2"/>
      <c r="N466" s="2"/>
      <c r="O466" s="2"/>
      <c r="P466" s="2"/>
      <c r="Q466" s="2"/>
      <c r="R466" s="2"/>
      <c r="S466" s="2"/>
      <c r="T466" s="2"/>
      <c r="U466" s="2"/>
      <c r="V466" s="2"/>
      <c r="W466" s="2"/>
      <c r="X466" s="2"/>
      <c r="Y466" s="2"/>
      <c r="Z466" s="2"/>
      <c r="AA466" s="2"/>
      <c r="AB466" s="2"/>
    </row>
    <row r="467" spans="1:28" ht="13">
      <c r="A467" s="2"/>
      <c r="B467" s="2"/>
      <c r="C467" s="2"/>
      <c r="D467" s="2"/>
      <c r="E467" s="2"/>
      <c r="F467" s="2"/>
      <c r="G467" s="43"/>
      <c r="H467" s="2"/>
      <c r="I467" s="2"/>
      <c r="J467" s="2"/>
      <c r="K467" s="2"/>
      <c r="L467" s="2"/>
      <c r="M467" s="2"/>
      <c r="N467" s="2"/>
      <c r="O467" s="2"/>
      <c r="P467" s="2"/>
      <c r="Q467" s="2"/>
      <c r="R467" s="2"/>
      <c r="S467" s="2"/>
      <c r="T467" s="2"/>
      <c r="U467" s="2"/>
      <c r="V467" s="2"/>
      <c r="W467" s="2"/>
      <c r="X467" s="2"/>
      <c r="Y467" s="2"/>
      <c r="Z467" s="2"/>
      <c r="AA467" s="2"/>
      <c r="AB467" s="2"/>
    </row>
    <row r="468" spans="1:28" ht="13">
      <c r="A468" s="2"/>
      <c r="B468" s="2"/>
      <c r="C468" s="2"/>
      <c r="D468" s="2"/>
      <c r="E468" s="2"/>
      <c r="F468" s="2"/>
      <c r="G468" s="43"/>
      <c r="H468" s="2"/>
      <c r="I468" s="2"/>
      <c r="J468" s="2"/>
      <c r="K468" s="2"/>
      <c r="L468" s="2"/>
      <c r="M468" s="2"/>
      <c r="N468" s="2"/>
      <c r="O468" s="2"/>
      <c r="P468" s="2"/>
      <c r="Q468" s="2"/>
      <c r="R468" s="2"/>
      <c r="S468" s="2"/>
      <c r="T468" s="2"/>
      <c r="U468" s="2"/>
      <c r="V468" s="2"/>
      <c r="W468" s="2"/>
      <c r="X468" s="2"/>
      <c r="Y468" s="2"/>
      <c r="Z468" s="2"/>
      <c r="AA468" s="2"/>
      <c r="AB468" s="2"/>
    </row>
    <row r="469" spans="1:28" ht="13">
      <c r="A469" s="2"/>
      <c r="B469" s="2"/>
      <c r="C469" s="2"/>
      <c r="D469" s="2"/>
      <c r="E469" s="2"/>
      <c r="F469" s="2"/>
      <c r="G469" s="43"/>
      <c r="H469" s="2"/>
      <c r="I469" s="2"/>
      <c r="J469" s="2"/>
      <c r="K469" s="2"/>
      <c r="L469" s="2"/>
      <c r="M469" s="2"/>
      <c r="N469" s="2"/>
      <c r="O469" s="2"/>
      <c r="P469" s="2"/>
      <c r="Q469" s="2"/>
      <c r="R469" s="2"/>
      <c r="S469" s="2"/>
      <c r="T469" s="2"/>
      <c r="U469" s="2"/>
      <c r="V469" s="2"/>
      <c r="W469" s="2"/>
      <c r="X469" s="2"/>
      <c r="Y469" s="2"/>
      <c r="Z469" s="2"/>
      <c r="AA469" s="2"/>
      <c r="AB469" s="2"/>
    </row>
    <row r="470" spans="1:28" ht="13">
      <c r="A470" s="2"/>
      <c r="B470" s="2"/>
      <c r="C470" s="2"/>
      <c r="D470" s="2"/>
      <c r="E470" s="2"/>
      <c r="F470" s="2"/>
      <c r="G470" s="43"/>
      <c r="H470" s="2"/>
      <c r="I470" s="2"/>
      <c r="J470" s="2"/>
      <c r="K470" s="2"/>
      <c r="L470" s="2"/>
      <c r="M470" s="2"/>
      <c r="N470" s="2"/>
      <c r="O470" s="2"/>
      <c r="P470" s="2"/>
      <c r="Q470" s="2"/>
      <c r="R470" s="2"/>
      <c r="S470" s="2"/>
      <c r="T470" s="2"/>
      <c r="U470" s="2"/>
      <c r="V470" s="2"/>
      <c r="W470" s="2"/>
      <c r="X470" s="2"/>
      <c r="Y470" s="2"/>
      <c r="Z470" s="2"/>
      <c r="AA470" s="2"/>
      <c r="AB470" s="2"/>
    </row>
    <row r="471" spans="1:28" ht="13">
      <c r="A471" s="2"/>
      <c r="B471" s="2"/>
      <c r="C471" s="2"/>
      <c r="D471" s="2"/>
      <c r="E471" s="2"/>
      <c r="F471" s="2"/>
      <c r="G471" s="43"/>
      <c r="H471" s="2"/>
      <c r="I471" s="2"/>
      <c r="J471" s="2"/>
      <c r="K471" s="2"/>
      <c r="L471" s="2"/>
      <c r="M471" s="2"/>
      <c r="N471" s="2"/>
      <c r="O471" s="2"/>
      <c r="P471" s="2"/>
      <c r="Q471" s="2"/>
      <c r="R471" s="2"/>
      <c r="S471" s="2"/>
      <c r="T471" s="2"/>
      <c r="U471" s="2"/>
      <c r="V471" s="2"/>
      <c r="W471" s="2"/>
      <c r="X471" s="2"/>
      <c r="Y471" s="2"/>
      <c r="Z471" s="2"/>
      <c r="AA471" s="2"/>
      <c r="AB471" s="2"/>
    </row>
    <row r="472" spans="1:28" ht="13">
      <c r="A472" s="2"/>
      <c r="B472" s="2"/>
      <c r="C472" s="2"/>
      <c r="D472" s="2"/>
      <c r="E472" s="2"/>
      <c r="F472" s="2"/>
      <c r="G472" s="43"/>
      <c r="H472" s="2"/>
      <c r="I472" s="2"/>
      <c r="J472" s="2"/>
      <c r="K472" s="2"/>
      <c r="L472" s="2"/>
      <c r="M472" s="2"/>
      <c r="N472" s="2"/>
      <c r="O472" s="2"/>
      <c r="P472" s="2"/>
      <c r="Q472" s="2"/>
      <c r="R472" s="2"/>
      <c r="S472" s="2"/>
      <c r="T472" s="2"/>
      <c r="U472" s="2"/>
      <c r="V472" s="2"/>
      <c r="W472" s="2"/>
      <c r="X472" s="2"/>
      <c r="Y472" s="2"/>
      <c r="Z472" s="2"/>
      <c r="AA472" s="2"/>
      <c r="AB472" s="2"/>
    </row>
    <row r="473" spans="1:28" ht="13">
      <c r="A473" s="2"/>
      <c r="B473" s="2"/>
      <c r="C473" s="2"/>
      <c r="D473" s="2"/>
      <c r="E473" s="2"/>
      <c r="F473" s="2"/>
      <c r="G473" s="43"/>
      <c r="H473" s="2"/>
      <c r="I473" s="2"/>
      <c r="J473" s="2"/>
      <c r="K473" s="2"/>
      <c r="L473" s="2"/>
      <c r="M473" s="2"/>
      <c r="N473" s="2"/>
      <c r="O473" s="2"/>
      <c r="P473" s="2"/>
      <c r="Q473" s="2"/>
      <c r="R473" s="2"/>
      <c r="S473" s="2"/>
      <c r="T473" s="2"/>
      <c r="U473" s="2"/>
      <c r="V473" s="2"/>
      <c r="W473" s="2"/>
      <c r="X473" s="2"/>
      <c r="Y473" s="2"/>
      <c r="Z473" s="2"/>
      <c r="AA473" s="2"/>
      <c r="AB473" s="2"/>
    </row>
    <row r="474" spans="1:28" ht="13">
      <c r="A474" s="2"/>
      <c r="B474" s="2"/>
      <c r="C474" s="2"/>
      <c r="D474" s="2"/>
      <c r="E474" s="2"/>
      <c r="F474" s="2"/>
      <c r="G474" s="43"/>
      <c r="H474" s="2"/>
      <c r="I474" s="2"/>
      <c r="J474" s="2"/>
      <c r="K474" s="2"/>
      <c r="L474" s="2"/>
      <c r="M474" s="2"/>
      <c r="N474" s="2"/>
      <c r="O474" s="2"/>
      <c r="P474" s="2"/>
      <c r="Q474" s="2"/>
      <c r="R474" s="2"/>
      <c r="S474" s="2"/>
      <c r="T474" s="2"/>
      <c r="U474" s="2"/>
      <c r="V474" s="2"/>
      <c r="W474" s="2"/>
      <c r="X474" s="2"/>
      <c r="Y474" s="2"/>
      <c r="Z474" s="2"/>
      <c r="AA474" s="2"/>
      <c r="AB474" s="2"/>
    </row>
    <row r="475" spans="1:28" ht="13">
      <c r="A475" s="2"/>
      <c r="B475" s="2"/>
      <c r="C475" s="2"/>
      <c r="D475" s="2"/>
      <c r="E475" s="2"/>
      <c r="F475" s="2"/>
      <c r="G475" s="43"/>
      <c r="H475" s="2"/>
      <c r="I475" s="2"/>
      <c r="J475" s="2"/>
      <c r="K475" s="2"/>
      <c r="L475" s="2"/>
      <c r="M475" s="2"/>
      <c r="N475" s="2"/>
      <c r="O475" s="2"/>
      <c r="P475" s="2"/>
      <c r="Q475" s="2"/>
      <c r="R475" s="2"/>
      <c r="S475" s="2"/>
      <c r="T475" s="2"/>
      <c r="U475" s="2"/>
      <c r="V475" s="2"/>
      <c r="W475" s="2"/>
      <c r="X475" s="2"/>
      <c r="Y475" s="2"/>
      <c r="Z475" s="2"/>
      <c r="AA475" s="2"/>
      <c r="AB475" s="2"/>
    </row>
    <row r="476" spans="1:28" ht="13">
      <c r="A476" s="2"/>
      <c r="B476" s="2"/>
      <c r="C476" s="2"/>
      <c r="D476" s="2"/>
      <c r="E476" s="2"/>
      <c r="F476" s="2"/>
      <c r="G476" s="43"/>
      <c r="H476" s="2"/>
      <c r="I476" s="2"/>
      <c r="J476" s="2"/>
      <c r="K476" s="2"/>
      <c r="L476" s="2"/>
      <c r="M476" s="2"/>
      <c r="N476" s="2"/>
      <c r="O476" s="2"/>
      <c r="P476" s="2"/>
      <c r="Q476" s="2"/>
      <c r="R476" s="2"/>
      <c r="S476" s="2"/>
      <c r="T476" s="2"/>
      <c r="U476" s="2"/>
      <c r="V476" s="2"/>
      <c r="W476" s="2"/>
      <c r="X476" s="2"/>
      <c r="Y476" s="2"/>
      <c r="Z476" s="2"/>
      <c r="AA476" s="2"/>
      <c r="AB476" s="2"/>
    </row>
    <row r="477" spans="1:28" ht="13">
      <c r="A477" s="2"/>
      <c r="B477" s="2"/>
      <c r="C477" s="2"/>
      <c r="D477" s="2"/>
      <c r="E477" s="2"/>
      <c r="F477" s="2"/>
      <c r="G477" s="43"/>
      <c r="H477" s="2"/>
      <c r="I477" s="2"/>
      <c r="J477" s="2"/>
      <c r="K477" s="2"/>
      <c r="L477" s="2"/>
      <c r="M477" s="2"/>
      <c r="N477" s="2"/>
      <c r="O477" s="2"/>
      <c r="P477" s="2"/>
      <c r="Q477" s="2"/>
      <c r="R477" s="2"/>
      <c r="S477" s="2"/>
      <c r="T477" s="2"/>
      <c r="U477" s="2"/>
      <c r="V477" s="2"/>
      <c r="W477" s="2"/>
      <c r="X477" s="2"/>
      <c r="Y477" s="2"/>
      <c r="Z477" s="2"/>
      <c r="AA477" s="2"/>
      <c r="AB477" s="2"/>
    </row>
    <row r="478" spans="1:28" ht="13">
      <c r="A478" s="2"/>
      <c r="B478" s="2"/>
      <c r="C478" s="2"/>
      <c r="D478" s="2"/>
      <c r="E478" s="2"/>
      <c r="F478" s="2"/>
      <c r="G478" s="43"/>
      <c r="H478" s="2"/>
      <c r="I478" s="2"/>
      <c r="J478" s="2"/>
      <c r="K478" s="2"/>
      <c r="L478" s="2"/>
      <c r="M478" s="2"/>
      <c r="N478" s="2"/>
      <c r="O478" s="2"/>
      <c r="P478" s="2"/>
      <c r="Q478" s="2"/>
      <c r="R478" s="2"/>
      <c r="S478" s="2"/>
      <c r="T478" s="2"/>
      <c r="U478" s="2"/>
      <c r="V478" s="2"/>
      <c r="W478" s="2"/>
      <c r="X478" s="2"/>
      <c r="Y478" s="2"/>
      <c r="Z478" s="2"/>
      <c r="AA478" s="2"/>
      <c r="AB478" s="2"/>
    </row>
    <row r="479" spans="1:28" ht="13">
      <c r="A479" s="2"/>
      <c r="B479" s="2"/>
      <c r="C479" s="2"/>
      <c r="D479" s="2"/>
      <c r="E479" s="2"/>
      <c r="F479" s="2"/>
      <c r="G479" s="43"/>
      <c r="H479" s="2"/>
      <c r="I479" s="2"/>
      <c r="J479" s="2"/>
      <c r="K479" s="2"/>
      <c r="L479" s="2"/>
      <c r="M479" s="2"/>
      <c r="N479" s="2"/>
      <c r="O479" s="2"/>
      <c r="P479" s="2"/>
      <c r="Q479" s="2"/>
      <c r="R479" s="2"/>
      <c r="S479" s="2"/>
      <c r="T479" s="2"/>
      <c r="U479" s="2"/>
      <c r="V479" s="2"/>
      <c r="W479" s="2"/>
      <c r="X479" s="2"/>
      <c r="Y479" s="2"/>
      <c r="Z479" s="2"/>
      <c r="AA479" s="2"/>
      <c r="AB479" s="2"/>
    </row>
    <row r="480" spans="1:28" ht="13">
      <c r="A480" s="2"/>
      <c r="B480" s="2"/>
      <c r="C480" s="2"/>
      <c r="D480" s="2"/>
      <c r="E480" s="2"/>
      <c r="F480" s="2"/>
      <c r="G480" s="43"/>
      <c r="H480" s="2"/>
      <c r="I480" s="2"/>
      <c r="J480" s="2"/>
      <c r="K480" s="2"/>
      <c r="L480" s="2"/>
      <c r="M480" s="2"/>
      <c r="N480" s="2"/>
      <c r="O480" s="2"/>
      <c r="P480" s="2"/>
      <c r="Q480" s="2"/>
      <c r="R480" s="2"/>
      <c r="S480" s="2"/>
      <c r="T480" s="2"/>
      <c r="U480" s="2"/>
      <c r="V480" s="2"/>
      <c r="W480" s="2"/>
      <c r="X480" s="2"/>
      <c r="Y480" s="2"/>
      <c r="Z480" s="2"/>
      <c r="AA480" s="2"/>
      <c r="AB480" s="2"/>
    </row>
    <row r="481" spans="1:28" ht="13">
      <c r="A481" s="2"/>
      <c r="B481" s="2"/>
      <c r="C481" s="2"/>
      <c r="D481" s="2"/>
      <c r="E481" s="2"/>
      <c r="F481" s="2"/>
      <c r="G481" s="43"/>
      <c r="H481" s="2"/>
      <c r="I481" s="2"/>
      <c r="J481" s="2"/>
      <c r="K481" s="2"/>
      <c r="L481" s="2"/>
      <c r="M481" s="2"/>
      <c r="N481" s="2"/>
      <c r="O481" s="2"/>
      <c r="P481" s="2"/>
      <c r="Q481" s="2"/>
      <c r="R481" s="2"/>
      <c r="S481" s="2"/>
      <c r="T481" s="2"/>
      <c r="U481" s="2"/>
      <c r="V481" s="2"/>
      <c r="W481" s="2"/>
      <c r="X481" s="2"/>
      <c r="Y481" s="2"/>
      <c r="Z481" s="2"/>
      <c r="AA481" s="2"/>
      <c r="AB481" s="2"/>
    </row>
    <row r="482" spans="1:28" ht="13">
      <c r="A482" s="2"/>
      <c r="B482" s="2"/>
      <c r="C482" s="2"/>
      <c r="D482" s="2"/>
      <c r="E482" s="2"/>
      <c r="F482" s="2"/>
      <c r="G482" s="43"/>
      <c r="H482" s="2"/>
      <c r="I482" s="2"/>
      <c r="J482" s="2"/>
      <c r="K482" s="2"/>
      <c r="L482" s="2"/>
      <c r="M482" s="2"/>
      <c r="N482" s="2"/>
      <c r="O482" s="2"/>
      <c r="P482" s="2"/>
      <c r="Q482" s="2"/>
      <c r="R482" s="2"/>
      <c r="S482" s="2"/>
      <c r="T482" s="2"/>
      <c r="U482" s="2"/>
      <c r="V482" s="2"/>
      <c r="W482" s="2"/>
      <c r="X482" s="2"/>
      <c r="Y482" s="2"/>
      <c r="Z482" s="2"/>
      <c r="AA482" s="2"/>
      <c r="AB482" s="2"/>
    </row>
    <row r="483" spans="1:28" ht="13">
      <c r="A483" s="2"/>
      <c r="B483" s="2"/>
      <c r="C483" s="2"/>
      <c r="D483" s="2"/>
      <c r="E483" s="2"/>
      <c r="F483" s="2"/>
      <c r="G483" s="43"/>
      <c r="H483" s="2"/>
      <c r="I483" s="2"/>
      <c r="J483" s="2"/>
      <c r="K483" s="2"/>
      <c r="L483" s="2"/>
      <c r="M483" s="2"/>
      <c r="N483" s="2"/>
      <c r="O483" s="2"/>
      <c r="P483" s="2"/>
      <c r="Q483" s="2"/>
      <c r="R483" s="2"/>
      <c r="S483" s="2"/>
      <c r="T483" s="2"/>
      <c r="U483" s="2"/>
      <c r="V483" s="2"/>
      <c r="W483" s="2"/>
      <c r="X483" s="2"/>
      <c r="Y483" s="2"/>
      <c r="Z483" s="2"/>
      <c r="AA483" s="2"/>
      <c r="AB483" s="2"/>
    </row>
    <row r="484" spans="1:28" ht="13">
      <c r="A484" s="2"/>
      <c r="B484" s="2"/>
      <c r="C484" s="2"/>
      <c r="D484" s="2"/>
      <c r="E484" s="2"/>
      <c r="F484" s="2"/>
      <c r="G484" s="43"/>
      <c r="H484" s="2"/>
      <c r="I484" s="2"/>
      <c r="J484" s="2"/>
      <c r="K484" s="2"/>
      <c r="L484" s="2"/>
      <c r="M484" s="2"/>
      <c r="N484" s="2"/>
      <c r="O484" s="2"/>
      <c r="P484" s="2"/>
      <c r="Q484" s="2"/>
      <c r="R484" s="2"/>
      <c r="S484" s="2"/>
      <c r="T484" s="2"/>
      <c r="U484" s="2"/>
      <c r="V484" s="2"/>
      <c r="W484" s="2"/>
      <c r="X484" s="2"/>
      <c r="Y484" s="2"/>
      <c r="Z484" s="2"/>
      <c r="AA484" s="2"/>
      <c r="AB484" s="2"/>
    </row>
    <row r="485" spans="1:28" ht="13">
      <c r="A485" s="2"/>
      <c r="B485" s="2"/>
      <c r="C485" s="2"/>
      <c r="D485" s="2"/>
      <c r="E485" s="2"/>
      <c r="F485" s="2"/>
      <c r="G485" s="43"/>
      <c r="H485" s="2"/>
      <c r="I485" s="2"/>
      <c r="J485" s="2"/>
      <c r="K485" s="2"/>
      <c r="L485" s="2"/>
      <c r="M485" s="2"/>
      <c r="N485" s="2"/>
      <c r="O485" s="2"/>
      <c r="P485" s="2"/>
      <c r="Q485" s="2"/>
      <c r="R485" s="2"/>
      <c r="S485" s="2"/>
      <c r="T485" s="2"/>
      <c r="U485" s="2"/>
      <c r="V485" s="2"/>
      <c r="W485" s="2"/>
      <c r="X485" s="2"/>
      <c r="Y485" s="2"/>
      <c r="Z485" s="2"/>
      <c r="AA485" s="2"/>
      <c r="AB485" s="2"/>
    </row>
    <row r="486" spans="1:28" ht="13">
      <c r="A486" s="2"/>
      <c r="B486" s="2"/>
      <c r="C486" s="2"/>
      <c r="D486" s="2"/>
      <c r="E486" s="2"/>
      <c r="F486" s="2"/>
      <c r="G486" s="43"/>
      <c r="H486" s="2"/>
      <c r="I486" s="2"/>
      <c r="J486" s="2"/>
      <c r="K486" s="2"/>
      <c r="L486" s="2"/>
      <c r="M486" s="2"/>
      <c r="N486" s="2"/>
      <c r="O486" s="2"/>
      <c r="P486" s="2"/>
      <c r="Q486" s="2"/>
      <c r="R486" s="2"/>
      <c r="S486" s="2"/>
      <c r="T486" s="2"/>
      <c r="U486" s="2"/>
      <c r="V486" s="2"/>
      <c r="W486" s="2"/>
      <c r="X486" s="2"/>
      <c r="Y486" s="2"/>
      <c r="Z486" s="2"/>
      <c r="AA486" s="2"/>
      <c r="AB486" s="2"/>
    </row>
    <row r="487" spans="1:28" ht="13">
      <c r="A487" s="2"/>
      <c r="B487" s="2"/>
      <c r="C487" s="2"/>
      <c r="D487" s="2"/>
      <c r="E487" s="2"/>
      <c r="F487" s="2"/>
      <c r="G487" s="43"/>
      <c r="H487" s="2"/>
      <c r="I487" s="2"/>
      <c r="J487" s="2"/>
      <c r="K487" s="2"/>
      <c r="L487" s="2"/>
      <c r="M487" s="2"/>
      <c r="N487" s="2"/>
      <c r="O487" s="2"/>
      <c r="P487" s="2"/>
      <c r="Q487" s="2"/>
      <c r="R487" s="2"/>
      <c r="S487" s="2"/>
      <c r="T487" s="2"/>
      <c r="U487" s="2"/>
      <c r="V487" s="2"/>
      <c r="W487" s="2"/>
      <c r="X487" s="2"/>
      <c r="Y487" s="2"/>
      <c r="Z487" s="2"/>
      <c r="AA487" s="2"/>
      <c r="AB487" s="2"/>
    </row>
    <row r="488" spans="1:28" ht="13">
      <c r="A488" s="2"/>
      <c r="B488" s="2"/>
      <c r="C488" s="2"/>
      <c r="D488" s="2"/>
      <c r="E488" s="2"/>
      <c r="F488" s="2"/>
      <c r="G488" s="43"/>
      <c r="H488" s="2"/>
      <c r="I488" s="2"/>
      <c r="J488" s="2"/>
      <c r="K488" s="2"/>
      <c r="L488" s="2"/>
      <c r="M488" s="2"/>
      <c r="N488" s="2"/>
      <c r="O488" s="2"/>
      <c r="P488" s="2"/>
      <c r="Q488" s="2"/>
      <c r="R488" s="2"/>
      <c r="S488" s="2"/>
      <c r="T488" s="2"/>
      <c r="U488" s="2"/>
      <c r="V488" s="2"/>
      <c r="W488" s="2"/>
      <c r="X488" s="2"/>
      <c r="Y488" s="2"/>
      <c r="Z488" s="2"/>
      <c r="AA488" s="2"/>
      <c r="AB488" s="2"/>
    </row>
    <row r="489" spans="1:28" ht="13">
      <c r="A489" s="2"/>
      <c r="B489" s="2"/>
      <c r="C489" s="2"/>
      <c r="D489" s="2"/>
      <c r="E489" s="2"/>
      <c r="F489" s="2"/>
      <c r="G489" s="43"/>
      <c r="H489" s="2"/>
      <c r="I489" s="2"/>
      <c r="J489" s="2"/>
      <c r="K489" s="2"/>
      <c r="L489" s="2"/>
      <c r="M489" s="2"/>
      <c r="N489" s="2"/>
      <c r="O489" s="2"/>
      <c r="P489" s="2"/>
      <c r="Q489" s="2"/>
      <c r="R489" s="2"/>
      <c r="S489" s="2"/>
      <c r="T489" s="2"/>
      <c r="U489" s="2"/>
      <c r="V489" s="2"/>
      <c r="W489" s="2"/>
      <c r="X489" s="2"/>
      <c r="Y489" s="2"/>
      <c r="Z489" s="2"/>
      <c r="AA489" s="2"/>
      <c r="AB489" s="2"/>
    </row>
    <row r="490" spans="1:28" ht="13">
      <c r="A490" s="2"/>
      <c r="B490" s="2"/>
      <c r="C490" s="2"/>
      <c r="D490" s="2"/>
      <c r="E490" s="2"/>
      <c r="F490" s="2"/>
      <c r="G490" s="43"/>
      <c r="H490" s="2"/>
      <c r="I490" s="2"/>
      <c r="J490" s="2"/>
      <c r="K490" s="2"/>
      <c r="L490" s="2"/>
      <c r="M490" s="2"/>
      <c r="N490" s="2"/>
      <c r="O490" s="2"/>
      <c r="P490" s="2"/>
      <c r="Q490" s="2"/>
      <c r="R490" s="2"/>
      <c r="S490" s="2"/>
      <c r="T490" s="2"/>
      <c r="U490" s="2"/>
      <c r="V490" s="2"/>
      <c r="W490" s="2"/>
      <c r="X490" s="2"/>
      <c r="Y490" s="2"/>
      <c r="Z490" s="2"/>
      <c r="AA490" s="2"/>
      <c r="AB490" s="2"/>
    </row>
    <row r="491" spans="1:28" ht="13">
      <c r="A491" s="2"/>
      <c r="B491" s="2"/>
      <c r="C491" s="2"/>
      <c r="D491" s="2"/>
      <c r="E491" s="2"/>
      <c r="F491" s="2"/>
      <c r="G491" s="43"/>
      <c r="H491" s="2"/>
      <c r="I491" s="2"/>
      <c r="J491" s="2"/>
      <c r="K491" s="2"/>
      <c r="L491" s="2"/>
      <c r="M491" s="2"/>
      <c r="N491" s="2"/>
      <c r="O491" s="2"/>
      <c r="P491" s="2"/>
      <c r="Q491" s="2"/>
      <c r="R491" s="2"/>
      <c r="S491" s="2"/>
      <c r="T491" s="2"/>
      <c r="U491" s="2"/>
      <c r="V491" s="2"/>
      <c r="W491" s="2"/>
      <c r="X491" s="2"/>
      <c r="Y491" s="2"/>
      <c r="Z491" s="2"/>
      <c r="AA491" s="2"/>
      <c r="AB491" s="2"/>
    </row>
    <row r="492" spans="1:28" ht="13">
      <c r="A492" s="2"/>
      <c r="B492" s="2"/>
      <c r="C492" s="2"/>
      <c r="D492" s="2"/>
      <c r="E492" s="2"/>
      <c r="F492" s="2"/>
      <c r="G492" s="43"/>
      <c r="H492" s="2"/>
      <c r="I492" s="2"/>
      <c r="J492" s="2"/>
      <c r="K492" s="2"/>
      <c r="L492" s="2"/>
      <c r="M492" s="2"/>
      <c r="N492" s="2"/>
      <c r="O492" s="2"/>
      <c r="P492" s="2"/>
      <c r="Q492" s="2"/>
      <c r="R492" s="2"/>
      <c r="S492" s="2"/>
      <c r="T492" s="2"/>
      <c r="U492" s="2"/>
      <c r="V492" s="2"/>
      <c r="W492" s="2"/>
      <c r="X492" s="2"/>
      <c r="Y492" s="2"/>
      <c r="Z492" s="2"/>
      <c r="AA492" s="2"/>
      <c r="AB492" s="2"/>
    </row>
    <row r="493" spans="1:28" ht="13">
      <c r="A493" s="2"/>
      <c r="B493" s="2"/>
      <c r="C493" s="2"/>
      <c r="D493" s="2"/>
      <c r="E493" s="2"/>
      <c r="F493" s="2"/>
      <c r="G493" s="43"/>
      <c r="H493" s="2"/>
      <c r="I493" s="2"/>
      <c r="J493" s="2"/>
      <c r="K493" s="2"/>
      <c r="L493" s="2"/>
      <c r="M493" s="2"/>
      <c r="N493" s="2"/>
      <c r="O493" s="2"/>
      <c r="P493" s="2"/>
      <c r="Q493" s="2"/>
      <c r="R493" s="2"/>
      <c r="S493" s="2"/>
      <c r="T493" s="2"/>
      <c r="U493" s="2"/>
      <c r="V493" s="2"/>
      <c r="W493" s="2"/>
      <c r="X493" s="2"/>
      <c r="Y493" s="2"/>
      <c r="Z493" s="2"/>
      <c r="AA493" s="2"/>
      <c r="AB493" s="2"/>
    </row>
    <row r="494" spans="1:28" ht="13">
      <c r="A494" s="2"/>
      <c r="B494" s="2"/>
      <c r="C494" s="2"/>
      <c r="D494" s="2"/>
      <c r="E494" s="2"/>
      <c r="F494" s="2"/>
      <c r="G494" s="43"/>
      <c r="H494" s="2"/>
      <c r="I494" s="2"/>
      <c r="J494" s="2"/>
      <c r="K494" s="2"/>
      <c r="L494" s="2"/>
      <c r="M494" s="2"/>
      <c r="N494" s="2"/>
      <c r="O494" s="2"/>
      <c r="P494" s="2"/>
      <c r="Q494" s="2"/>
      <c r="R494" s="2"/>
      <c r="S494" s="2"/>
      <c r="T494" s="2"/>
      <c r="U494" s="2"/>
      <c r="V494" s="2"/>
      <c r="W494" s="2"/>
      <c r="X494" s="2"/>
      <c r="Y494" s="2"/>
      <c r="Z494" s="2"/>
      <c r="AA494" s="2"/>
      <c r="AB494" s="2"/>
    </row>
    <row r="495" spans="1:28" ht="13">
      <c r="A495" s="2"/>
      <c r="B495" s="2"/>
      <c r="C495" s="2"/>
      <c r="D495" s="2"/>
      <c r="E495" s="2"/>
      <c r="F495" s="2"/>
      <c r="G495" s="43"/>
      <c r="H495" s="2"/>
      <c r="I495" s="2"/>
      <c r="J495" s="2"/>
      <c r="K495" s="2"/>
      <c r="L495" s="2"/>
      <c r="M495" s="2"/>
      <c r="N495" s="2"/>
      <c r="O495" s="2"/>
      <c r="P495" s="2"/>
      <c r="Q495" s="2"/>
      <c r="R495" s="2"/>
      <c r="S495" s="2"/>
      <c r="T495" s="2"/>
      <c r="U495" s="2"/>
      <c r="V495" s="2"/>
      <c r="W495" s="2"/>
      <c r="X495" s="2"/>
      <c r="Y495" s="2"/>
      <c r="Z495" s="2"/>
      <c r="AA495" s="2"/>
      <c r="AB495" s="2"/>
    </row>
    <row r="496" spans="1:28" ht="13">
      <c r="A496" s="2"/>
      <c r="B496" s="2"/>
      <c r="C496" s="2"/>
      <c r="D496" s="2"/>
      <c r="E496" s="2"/>
      <c r="F496" s="2"/>
      <c r="G496" s="43"/>
      <c r="H496" s="2"/>
      <c r="I496" s="2"/>
      <c r="J496" s="2"/>
      <c r="K496" s="2"/>
      <c r="L496" s="2"/>
      <c r="M496" s="2"/>
      <c r="N496" s="2"/>
      <c r="O496" s="2"/>
      <c r="P496" s="2"/>
      <c r="Q496" s="2"/>
      <c r="R496" s="2"/>
      <c r="S496" s="2"/>
      <c r="T496" s="2"/>
      <c r="U496" s="2"/>
      <c r="V496" s="2"/>
      <c r="W496" s="2"/>
      <c r="X496" s="2"/>
      <c r="Y496" s="2"/>
      <c r="Z496" s="2"/>
      <c r="AA496" s="2"/>
      <c r="AB496" s="2"/>
    </row>
    <row r="497" spans="1:28" ht="13">
      <c r="A497" s="2"/>
      <c r="B497" s="2"/>
      <c r="C497" s="2"/>
      <c r="D497" s="2"/>
      <c r="E497" s="2"/>
      <c r="F497" s="2"/>
      <c r="G497" s="43"/>
      <c r="H497" s="2"/>
      <c r="I497" s="2"/>
      <c r="J497" s="2"/>
      <c r="K497" s="2"/>
      <c r="L497" s="2"/>
      <c r="M497" s="2"/>
      <c r="N497" s="2"/>
      <c r="O497" s="2"/>
      <c r="P497" s="2"/>
      <c r="Q497" s="2"/>
      <c r="R497" s="2"/>
      <c r="S497" s="2"/>
      <c r="T497" s="2"/>
      <c r="U497" s="2"/>
      <c r="V497" s="2"/>
      <c r="W497" s="2"/>
      <c r="X497" s="2"/>
      <c r="Y497" s="2"/>
      <c r="Z497" s="2"/>
      <c r="AA497" s="2"/>
      <c r="AB497" s="2"/>
    </row>
    <row r="498" spans="1:28" ht="13">
      <c r="A498" s="2"/>
      <c r="B498" s="2"/>
      <c r="C498" s="2"/>
      <c r="D498" s="2"/>
      <c r="E498" s="2"/>
      <c r="F498" s="2"/>
      <c r="G498" s="43"/>
      <c r="H498" s="2"/>
      <c r="I498" s="2"/>
      <c r="J498" s="2"/>
      <c r="K498" s="2"/>
      <c r="L498" s="2"/>
      <c r="M498" s="2"/>
      <c r="N498" s="2"/>
      <c r="O498" s="2"/>
      <c r="P498" s="2"/>
      <c r="Q498" s="2"/>
      <c r="R498" s="2"/>
      <c r="S498" s="2"/>
      <c r="T498" s="2"/>
      <c r="U498" s="2"/>
      <c r="V498" s="2"/>
      <c r="W498" s="2"/>
      <c r="X498" s="2"/>
      <c r="Y498" s="2"/>
      <c r="Z498" s="2"/>
      <c r="AA498" s="2"/>
      <c r="AB498" s="2"/>
    </row>
    <row r="499" spans="1:28" ht="13">
      <c r="A499" s="2"/>
      <c r="B499" s="2"/>
      <c r="C499" s="2"/>
      <c r="D499" s="2"/>
      <c r="E499" s="2"/>
      <c r="F499" s="2"/>
      <c r="G499" s="43"/>
      <c r="H499" s="2"/>
      <c r="I499" s="2"/>
      <c r="J499" s="2"/>
      <c r="K499" s="2"/>
      <c r="L499" s="2"/>
      <c r="M499" s="2"/>
      <c r="N499" s="2"/>
      <c r="O499" s="2"/>
      <c r="P499" s="2"/>
      <c r="Q499" s="2"/>
      <c r="R499" s="2"/>
      <c r="S499" s="2"/>
      <c r="T499" s="2"/>
      <c r="U499" s="2"/>
      <c r="V499" s="2"/>
      <c r="W499" s="2"/>
      <c r="X499" s="2"/>
      <c r="Y499" s="2"/>
      <c r="Z499" s="2"/>
      <c r="AA499" s="2"/>
      <c r="AB499" s="2"/>
    </row>
    <row r="500" spans="1:28" ht="13">
      <c r="A500" s="2"/>
      <c r="B500" s="2"/>
      <c r="C500" s="2"/>
      <c r="D500" s="2"/>
      <c r="E500" s="2"/>
      <c r="F500" s="2"/>
      <c r="G500" s="43"/>
      <c r="H500" s="2"/>
      <c r="I500" s="2"/>
      <c r="J500" s="2"/>
      <c r="K500" s="2"/>
      <c r="L500" s="2"/>
      <c r="M500" s="2"/>
      <c r="N500" s="2"/>
      <c r="O500" s="2"/>
      <c r="P500" s="2"/>
      <c r="Q500" s="2"/>
      <c r="R500" s="2"/>
      <c r="S500" s="2"/>
      <c r="T500" s="2"/>
      <c r="U500" s="2"/>
      <c r="V500" s="2"/>
      <c r="W500" s="2"/>
      <c r="X500" s="2"/>
      <c r="Y500" s="2"/>
      <c r="Z500" s="2"/>
      <c r="AA500" s="2"/>
      <c r="AB500" s="2"/>
    </row>
    <row r="501" spans="1:28" ht="13">
      <c r="A501" s="2"/>
      <c r="B501" s="2"/>
      <c r="C501" s="2"/>
      <c r="D501" s="2"/>
      <c r="E501" s="2"/>
      <c r="F501" s="2"/>
      <c r="G501" s="43"/>
      <c r="H501" s="2"/>
      <c r="I501" s="2"/>
      <c r="J501" s="2"/>
      <c r="K501" s="2"/>
      <c r="L501" s="2"/>
      <c r="M501" s="2"/>
      <c r="N501" s="2"/>
      <c r="O501" s="2"/>
      <c r="P501" s="2"/>
      <c r="Q501" s="2"/>
      <c r="R501" s="2"/>
      <c r="S501" s="2"/>
      <c r="T501" s="2"/>
      <c r="U501" s="2"/>
      <c r="V501" s="2"/>
      <c r="W501" s="2"/>
      <c r="X501" s="2"/>
      <c r="Y501" s="2"/>
      <c r="Z501" s="2"/>
      <c r="AA501" s="2"/>
      <c r="AB501" s="2"/>
    </row>
    <row r="502" spans="1:28" ht="13">
      <c r="A502" s="2"/>
      <c r="B502" s="2"/>
      <c r="C502" s="2"/>
      <c r="D502" s="2"/>
      <c r="E502" s="2"/>
      <c r="F502" s="2"/>
      <c r="G502" s="43"/>
      <c r="H502" s="2"/>
      <c r="I502" s="2"/>
      <c r="J502" s="2"/>
      <c r="K502" s="2"/>
      <c r="L502" s="2"/>
      <c r="M502" s="2"/>
      <c r="N502" s="2"/>
      <c r="O502" s="2"/>
      <c r="P502" s="2"/>
      <c r="Q502" s="2"/>
      <c r="R502" s="2"/>
      <c r="S502" s="2"/>
      <c r="T502" s="2"/>
      <c r="U502" s="2"/>
      <c r="V502" s="2"/>
      <c r="W502" s="2"/>
      <c r="X502" s="2"/>
      <c r="Y502" s="2"/>
      <c r="Z502" s="2"/>
      <c r="AA502" s="2"/>
      <c r="AB502" s="2"/>
    </row>
    <row r="503" spans="1:28" ht="13">
      <c r="A503" s="2"/>
      <c r="B503" s="2"/>
      <c r="C503" s="2"/>
      <c r="D503" s="2"/>
      <c r="E503" s="2"/>
      <c r="F503" s="2"/>
      <c r="G503" s="43"/>
      <c r="H503" s="2"/>
      <c r="I503" s="2"/>
      <c r="J503" s="2"/>
      <c r="K503" s="2"/>
      <c r="L503" s="2"/>
      <c r="M503" s="2"/>
      <c r="N503" s="2"/>
      <c r="O503" s="2"/>
      <c r="P503" s="2"/>
      <c r="Q503" s="2"/>
      <c r="R503" s="2"/>
      <c r="S503" s="2"/>
      <c r="T503" s="2"/>
      <c r="U503" s="2"/>
      <c r="V503" s="2"/>
      <c r="W503" s="2"/>
      <c r="X503" s="2"/>
      <c r="Y503" s="2"/>
      <c r="Z503" s="2"/>
      <c r="AA503" s="2"/>
      <c r="AB503" s="2"/>
    </row>
    <row r="504" spans="1:28" ht="13">
      <c r="A504" s="2"/>
      <c r="B504" s="2"/>
      <c r="C504" s="2"/>
      <c r="D504" s="2"/>
      <c r="E504" s="2"/>
      <c r="F504" s="2"/>
      <c r="G504" s="43"/>
      <c r="H504" s="2"/>
      <c r="I504" s="2"/>
      <c r="J504" s="2"/>
      <c r="K504" s="2"/>
      <c r="L504" s="2"/>
      <c r="M504" s="2"/>
      <c r="N504" s="2"/>
      <c r="O504" s="2"/>
      <c r="P504" s="2"/>
      <c r="Q504" s="2"/>
      <c r="R504" s="2"/>
      <c r="S504" s="2"/>
      <c r="T504" s="2"/>
      <c r="U504" s="2"/>
      <c r="V504" s="2"/>
      <c r="W504" s="2"/>
      <c r="X504" s="2"/>
      <c r="Y504" s="2"/>
      <c r="Z504" s="2"/>
      <c r="AA504" s="2"/>
      <c r="AB504" s="2"/>
    </row>
    <row r="505" spans="1:28" ht="13">
      <c r="A505" s="2"/>
      <c r="B505" s="2"/>
      <c r="C505" s="2"/>
      <c r="D505" s="2"/>
      <c r="E505" s="2"/>
      <c r="F505" s="2"/>
      <c r="G505" s="43"/>
      <c r="H505" s="2"/>
      <c r="I505" s="2"/>
      <c r="J505" s="2"/>
      <c r="K505" s="2"/>
      <c r="L505" s="2"/>
      <c r="M505" s="2"/>
      <c r="N505" s="2"/>
      <c r="O505" s="2"/>
      <c r="P505" s="2"/>
      <c r="Q505" s="2"/>
      <c r="R505" s="2"/>
      <c r="S505" s="2"/>
      <c r="T505" s="2"/>
      <c r="U505" s="2"/>
      <c r="V505" s="2"/>
      <c r="W505" s="2"/>
      <c r="X505" s="2"/>
      <c r="Y505" s="2"/>
      <c r="Z505" s="2"/>
      <c r="AA505" s="2"/>
      <c r="AB505" s="2"/>
    </row>
    <row r="506" spans="1:28" ht="13">
      <c r="A506" s="2"/>
      <c r="B506" s="2"/>
      <c r="C506" s="2"/>
      <c r="D506" s="2"/>
      <c r="E506" s="2"/>
      <c r="F506" s="2"/>
      <c r="G506" s="43"/>
      <c r="H506" s="2"/>
      <c r="I506" s="2"/>
      <c r="J506" s="2"/>
      <c r="K506" s="2"/>
      <c r="L506" s="2"/>
      <c r="M506" s="2"/>
      <c r="N506" s="2"/>
      <c r="O506" s="2"/>
      <c r="P506" s="2"/>
      <c r="Q506" s="2"/>
      <c r="R506" s="2"/>
      <c r="S506" s="2"/>
      <c r="T506" s="2"/>
      <c r="U506" s="2"/>
      <c r="V506" s="2"/>
      <c r="W506" s="2"/>
      <c r="X506" s="2"/>
      <c r="Y506" s="2"/>
      <c r="Z506" s="2"/>
      <c r="AA506" s="2"/>
      <c r="AB506" s="2"/>
    </row>
    <row r="507" spans="1:28" ht="13">
      <c r="A507" s="2"/>
      <c r="B507" s="2"/>
      <c r="C507" s="2"/>
      <c r="D507" s="2"/>
      <c r="E507" s="2"/>
      <c r="F507" s="2"/>
      <c r="G507" s="43"/>
      <c r="H507" s="2"/>
      <c r="I507" s="2"/>
      <c r="J507" s="2"/>
      <c r="K507" s="2"/>
      <c r="L507" s="2"/>
      <c r="M507" s="2"/>
      <c r="N507" s="2"/>
      <c r="O507" s="2"/>
      <c r="P507" s="2"/>
      <c r="Q507" s="2"/>
      <c r="R507" s="2"/>
      <c r="S507" s="2"/>
      <c r="T507" s="2"/>
      <c r="U507" s="2"/>
      <c r="V507" s="2"/>
      <c r="W507" s="2"/>
      <c r="X507" s="2"/>
      <c r="Y507" s="2"/>
      <c r="Z507" s="2"/>
      <c r="AA507" s="2"/>
      <c r="AB507" s="2"/>
    </row>
    <row r="508" spans="1:28" ht="13">
      <c r="A508" s="2"/>
      <c r="B508" s="2"/>
      <c r="C508" s="2"/>
      <c r="D508" s="2"/>
      <c r="E508" s="2"/>
      <c r="F508" s="2"/>
      <c r="G508" s="43"/>
      <c r="H508" s="2"/>
      <c r="I508" s="2"/>
      <c r="J508" s="2"/>
      <c r="K508" s="2"/>
      <c r="L508" s="2"/>
      <c r="M508" s="2"/>
      <c r="N508" s="2"/>
      <c r="O508" s="2"/>
      <c r="P508" s="2"/>
      <c r="Q508" s="2"/>
      <c r="R508" s="2"/>
      <c r="S508" s="2"/>
      <c r="T508" s="2"/>
      <c r="U508" s="2"/>
      <c r="V508" s="2"/>
      <c r="W508" s="2"/>
      <c r="X508" s="2"/>
      <c r="Y508" s="2"/>
      <c r="Z508" s="2"/>
      <c r="AA508" s="2"/>
      <c r="AB508" s="2"/>
    </row>
    <row r="509" spans="1:28" ht="13">
      <c r="A509" s="2"/>
      <c r="B509" s="2"/>
      <c r="C509" s="2"/>
      <c r="D509" s="2"/>
      <c r="E509" s="2"/>
      <c r="F509" s="2"/>
      <c r="G509" s="43"/>
      <c r="H509" s="2"/>
      <c r="I509" s="2"/>
      <c r="J509" s="2"/>
      <c r="K509" s="2"/>
      <c r="L509" s="2"/>
      <c r="M509" s="2"/>
      <c r="N509" s="2"/>
      <c r="O509" s="2"/>
      <c r="P509" s="2"/>
      <c r="Q509" s="2"/>
      <c r="R509" s="2"/>
      <c r="S509" s="2"/>
      <c r="T509" s="2"/>
      <c r="U509" s="2"/>
      <c r="V509" s="2"/>
      <c r="W509" s="2"/>
      <c r="X509" s="2"/>
      <c r="Y509" s="2"/>
      <c r="Z509" s="2"/>
      <c r="AA509" s="2"/>
      <c r="AB509" s="2"/>
    </row>
    <row r="510" spans="1:28" ht="13">
      <c r="A510" s="2"/>
      <c r="B510" s="2"/>
      <c r="C510" s="2"/>
      <c r="D510" s="2"/>
      <c r="E510" s="2"/>
      <c r="F510" s="2"/>
      <c r="G510" s="43"/>
      <c r="H510" s="2"/>
      <c r="I510" s="2"/>
      <c r="J510" s="2"/>
      <c r="K510" s="2"/>
      <c r="L510" s="2"/>
      <c r="M510" s="2"/>
      <c r="N510" s="2"/>
      <c r="O510" s="2"/>
      <c r="P510" s="2"/>
      <c r="Q510" s="2"/>
      <c r="R510" s="2"/>
      <c r="S510" s="2"/>
      <c r="T510" s="2"/>
      <c r="U510" s="2"/>
      <c r="V510" s="2"/>
      <c r="W510" s="2"/>
      <c r="X510" s="2"/>
      <c r="Y510" s="2"/>
      <c r="Z510" s="2"/>
      <c r="AA510" s="2"/>
      <c r="AB510" s="2"/>
    </row>
    <row r="511" spans="1:28" ht="13">
      <c r="A511" s="2"/>
      <c r="B511" s="2"/>
      <c r="C511" s="2"/>
      <c r="D511" s="2"/>
      <c r="E511" s="2"/>
      <c r="F511" s="2"/>
      <c r="G511" s="43"/>
      <c r="H511" s="2"/>
      <c r="I511" s="2"/>
      <c r="J511" s="2"/>
      <c r="K511" s="2"/>
      <c r="L511" s="2"/>
      <c r="M511" s="2"/>
      <c r="N511" s="2"/>
      <c r="O511" s="2"/>
      <c r="P511" s="2"/>
      <c r="Q511" s="2"/>
      <c r="R511" s="2"/>
      <c r="S511" s="2"/>
      <c r="T511" s="2"/>
      <c r="U511" s="2"/>
      <c r="V511" s="2"/>
      <c r="W511" s="2"/>
      <c r="X511" s="2"/>
      <c r="Y511" s="2"/>
      <c r="Z511" s="2"/>
      <c r="AA511" s="2"/>
      <c r="AB511" s="2"/>
    </row>
    <row r="512" spans="1:28" ht="13">
      <c r="A512" s="2"/>
      <c r="B512" s="2"/>
      <c r="C512" s="2"/>
      <c r="D512" s="2"/>
      <c r="E512" s="2"/>
      <c r="F512" s="2"/>
      <c r="G512" s="43"/>
      <c r="H512" s="2"/>
      <c r="I512" s="2"/>
      <c r="J512" s="2"/>
      <c r="K512" s="2"/>
      <c r="L512" s="2"/>
      <c r="M512" s="2"/>
      <c r="N512" s="2"/>
      <c r="O512" s="2"/>
      <c r="P512" s="2"/>
      <c r="Q512" s="2"/>
      <c r="R512" s="2"/>
      <c r="S512" s="2"/>
      <c r="T512" s="2"/>
      <c r="U512" s="2"/>
      <c r="V512" s="2"/>
      <c r="W512" s="2"/>
      <c r="X512" s="2"/>
      <c r="Y512" s="2"/>
      <c r="Z512" s="2"/>
      <c r="AA512" s="2"/>
      <c r="AB512" s="2"/>
    </row>
    <row r="513" spans="1:28" ht="13">
      <c r="A513" s="2"/>
      <c r="B513" s="2"/>
      <c r="C513" s="2"/>
      <c r="D513" s="2"/>
      <c r="E513" s="2"/>
      <c r="F513" s="2"/>
      <c r="G513" s="43"/>
      <c r="H513" s="2"/>
      <c r="I513" s="2"/>
      <c r="J513" s="2"/>
      <c r="K513" s="2"/>
      <c r="L513" s="2"/>
      <c r="M513" s="2"/>
      <c r="N513" s="2"/>
      <c r="O513" s="2"/>
      <c r="P513" s="2"/>
      <c r="Q513" s="2"/>
      <c r="R513" s="2"/>
      <c r="S513" s="2"/>
      <c r="T513" s="2"/>
      <c r="U513" s="2"/>
      <c r="V513" s="2"/>
      <c r="W513" s="2"/>
      <c r="X513" s="2"/>
      <c r="Y513" s="2"/>
      <c r="Z513" s="2"/>
      <c r="AA513" s="2"/>
      <c r="AB513" s="2"/>
    </row>
    <row r="514" spans="1:28" ht="13">
      <c r="A514" s="2"/>
      <c r="B514" s="2"/>
      <c r="C514" s="2"/>
      <c r="D514" s="2"/>
      <c r="E514" s="2"/>
      <c r="F514" s="2"/>
      <c r="G514" s="43"/>
      <c r="H514" s="2"/>
      <c r="I514" s="2"/>
      <c r="J514" s="2"/>
      <c r="K514" s="2"/>
      <c r="L514" s="2"/>
      <c r="M514" s="2"/>
      <c r="N514" s="2"/>
      <c r="O514" s="2"/>
      <c r="P514" s="2"/>
      <c r="Q514" s="2"/>
      <c r="R514" s="2"/>
      <c r="S514" s="2"/>
      <c r="T514" s="2"/>
      <c r="U514" s="2"/>
      <c r="V514" s="2"/>
      <c r="W514" s="2"/>
      <c r="X514" s="2"/>
      <c r="Y514" s="2"/>
      <c r="Z514" s="2"/>
      <c r="AA514" s="2"/>
      <c r="AB514" s="2"/>
    </row>
    <row r="515" spans="1:28" ht="13">
      <c r="A515" s="2"/>
      <c r="B515" s="2"/>
      <c r="C515" s="2"/>
      <c r="D515" s="2"/>
      <c r="E515" s="2"/>
      <c r="F515" s="2"/>
      <c r="G515" s="43"/>
      <c r="H515" s="2"/>
      <c r="I515" s="2"/>
      <c r="J515" s="2"/>
      <c r="K515" s="2"/>
      <c r="L515" s="2"/>
      <c r="M515" s="2"/>
      <c r="N515" s="2"/>
      <c r="O515" s="2"/>
      <c r="P515" s="2"/>
      <c r="Q515" s="2"/>
      <c r="R515" s="2"/>
      <c r="S515" s="2"/>
      <c r="T515" s="2"/>
      <c r="U515" s="2"/>
      <c r="V515" s="2"/>
      <c r="W515" s="2"/>
      <c r="X515" s="2"/>
      <c r="Y515" s="2"/>
      <c r="Z515" s="2"/>
      <c r="AA515" s="2"/>
      <c r="AB515" s="2"/>
    </row>
    <row r="516" spans="1:28" ht="13">
      <c r="A516" s="2"/>
      <c r="B516" s="2"/>
      <c r="C516" s="2"/>
      <c r="D516" s="2"/>
      <c r="E516" s="2"/>
      <c r="F516" s="2"/>
      <c r="G516" s="43"/>
      <c r="H516" s="2"/>
      <c r="I516" s="2"/>
      <c r="J516" s="2"/>
      <c r="K516" s="2"/>
      <c r="L516" s="2"/>
      <c r="M516" s="2"/>
      <c r="N516" s="2"/>
      <c r="O516" s="2"/>
      <c r="P516" s="2"/>
      <c r="Q516" s="2"/>
      <c r="R516" s="2"/>
      <c r="S516" s="2"/>
      <c r="T516" s="2"/>
      <c r="U516" s="2"/>
      <c r="V516" s="2"/>
      <c r="W516" s="2"/>
      <c r="X516" s="2"/>
      <c r="Y516" s="2"/>
      <c r="Z516" s="2"/>
      <c r="AA516" s="2"/>
      <c r="AB516" s="2"/>
    </row>
    <row r="517" spans="1:28" ht="13">
      <c r="A517" s="2"/>
      <c r="B517" s="2"/>
      <c r="C517" s="2"/>
      <c r="D517" s="2"/>
      <c r="E517" s="2"/>
      <c r="F517" s="2"/>
      <c r="G517" s="43"/>
      <c r="H517" s="2"/>
      <c r="I517" s="2"/>
      <c r="J517" s="2"/>
      <c r="K517" s="2"/>
      <c r="L517" s="2"/>
      <c r="M517" s="2"/>
      <c r="N517" s="2"/>
      <c r="O517" s="2"/>
      <c r="P517" s="2"/>
      <c r="Q517" s="2"/>
      <c r="R517" s="2"/>
      <c r="S517" s="2"/>
      <c r="T517" s="2"/>
      <c r="U517" s="2"/>
      <c r="V517" s="2"/>
      <c r="W517" s="2"/>
      <c r="X517" s="2"/>
      <c r="Y517" s="2"/>
      <c r="Z517" s="2"/>
      <c r="AA517" s="2"/>
      <c r="AB517" s="2"/>
    </row>
    <row r="518" spans="1:28" ht="13">
      <c r="A518" s="2"/>
      <c r="B518" s="2"/>
      <c r="C518" s="2"/>
      <c r="D518" s="2"/>
      <c r="E518" s="2"/>
      <c r="F518" s="2"/>
      <c r="G518" s="43"/>
      <c r="H518" s="2"/>
      <c r="I518" s="2"/>
      <c r="J518" s="2"/>
      <c r="K518" s="2"/>
      <c r="L518" s="2"/>
      <c r="M518" s="2"/>
      <c r="N518" s="2"/>
      <c r="O518" s="2"/>
      <c r="P518" s="2"/>
      <c r="Q518" s="2"/>
      <c r="R518" s="2"/>
      <c r="S518" s="2"/>
      <c r="T518" s="2"/>
      <c r="U518" s="2"/>
      <c r="V518" s="2"/>
      <c r="W518" s="2"/>
      <c r="X518" s="2"/>
      <c r="Y518" s="2"/>
      <c r="Z518" s="2"/>
      <c r="AA518" s="2"/>
      <c r="AB518" s="2"/>
    </row>
    <row r="519" spans="1:28" ht="13">
      <c r="A519" s="2"/>
      <c r="B519" s="2"/>
      <c r="C519" s="2"/>
      <c r="D519" s="2"/>
      <c r="E519" s="2"/>
      <c r="F519" s="2"/>
      <c r="G519" s="43"/>
      <c r="H519" s="2"/>
      <c r="I519" s="2"/>
      <c r="J519" s="2"/>
      <c r="K519" s="2"/>
      <c r="L519" s="2"/>
      <c r="M519" s="2"/>
      <c r="N519" s="2"/>
      <c r="O519" s="2"/>
      <c r="P519" s="2"/>
      <c r="Q519" s="2"/>
      <c r="R519" s="2"/>
      <c r="S519" s="2"/>
      <c r="T519" s="2"/>
      <c r="U519" s="2"/>
      <c r="V519" s="2"/>
      <c r="W519" s="2"/>
      <c r="X519" s="2"/>
      <c r="Y519" s="2"/>
      <c r="Z519" s="2"/>
      <c r="AA519" s="2"/>
      <c r="AB519" s="2"/>
    </row>
    <row r="520" spans="1:28" ht="13">
      <c r="A520" s="2"/>
      <c r="B520" s="2"/>
      <c r="C520" s="2"/>
      <c r="D520" s="2"/>
      <c r="E520" s="2"/>
      <c r="F520" s="2"/>
      <c r="G520" s="43"/>
      <c r="H520" s="2"/>
      <c r="I520" s="2"/>
      <c r="J520" s="2"/>
      <c r="K520" s="2"/>
      <c r="L520" s="2"/>
      <c r="M520" s="2"/>
      <c r="N520" s="2"/>
      <c r="O520" s="2"/>
      <c r="P520" s="2"/>
      <c r="Q520" s="2"/>
      <c r="R520" s="2"/>
      <c r="S520" s="2"/>
      <c r="T520" s="2"/>
      <c r="U520" s="2"/>
      <c r="V520" s="2"/>
      <c r="W520" s="2"/>
      <c r="X520" s="2"/>
      <c r="Y520" s="2"/>
      <c r="Z520" s="2"/>
      <c r="AA520" s="2"/>
      <c r="AB520" s="2"/>
    </row>
    <row r="521" spans="1:28" ht="13">
      <c r="A521" s="2"/>
      <c r="B521" s="2"/>
      <c r="C521" s="2"/>
      <c r="D521" s="2"/>
      <c r="E521" s="2"/>
      <c r="F521" s="2"/>
      <c r="G521" s="43"/>
      <c r="H521" s="2"/>
      <c r="I521" s="2"/>
      <c r="J521" s="2"/>
      <c r="K521" s="2"/>
      <c r="L521" s="2"/>
      <c r="M521" s="2"/>
      <c r="N521" s="2"/>
      <c r="O521" s="2"/>
      <c r="P521" s="2"/>
      <c r="Q521" s="2"/>
      <c r="R521" s="2"/>
      <c r="S521" s="2"/>
      <c r="T521" s="2"/>
      <c r="U521" s="2"/>
      <c r="V521" s="2"/>
      <c r="W521" s="2"/>
      <c r="X521" s="2"/>
      <c r="Y521" s="2"/>
      <c r="Z521" s="2"/>
      <c r="AA521" s="2"/>
      <c r="AB521" s="2"/>
    </row>
    <row r="522" spans="1:28" ht="13">
      <c r="A522" s="2"/>
      <c r="B522" s="2"/>
      <c r="C522" s="2"/>
      <c r="D522" s="2"/>
      <c r="E522" s="2"/>
      <c r="F522" s="2"/>
      <c r="G522" s="43"/>
      <c r="H522" s="2"/>
      <c r="I522" s="2"/>
      <c r="J522" s="2"/>
      <c r="K522" s="2"/>
      <c r="L522" s="2"/>
      <c r="M522" s="2"/>
      <c r="N522" s="2"/>
      <c r="O522" s="2"/>
      <c r="P522" s="2"/>
      <c r="Q522" s="2"/>
      <c r="R522" s="2"/>
      <c r="S522" s="2"/>
      <c r="T522" s="2"/>
      <c r="U522" s="2"/>
      <c r="V522" s="2"/>
      <c r="W522" s="2"/>
      <c r="X522" s="2"/>
      <c r="Y522" s="2"/>
      <c r="Z522" s="2"/>
      <c r="AA522" s="2"/>
      <c r="AB522" s="2"/>
    </row>
    <row r="523" spans="1:28" ht="13">
      <c r="A523" s="2"/>
      <c r="B523" s="2"/>
      <c r="C523" s="2"/>
      <c r="D523" s="2"/>
      <c r="E523" s="2"/>
      <c r="F523" s="2"/>
      <c r="G523" s="43"/>
      <c r="H523" s="2"/>
      <c r="I523" s="2"/>
      <c r="J523" s="2"/>
      <c r="K523" s="2"/>
      <c r="L523" s="2"/>
      <c r="M523" s="2"/>
      <c r="N523" s="2"/>
      <c r="O523" s="2"/>
      <c r="P523" s="2"/>
      <c r="Q523" s="2"/>
      <c r="R523" s="2"/>
      <c r="S523" s="2"/>
      <c r="T523" s="2"/>
      <c r="U523" s="2"/>
      <c r="V523" s="2"/>
      <c r="W523" s="2"/>
      <c r="X523" s="2"/>
      <c r="Y523" s="2"/>
      <c r="Z523" s="2"/>
      <c r="AA523" s="2"/>
      <c r="AB523" s="2"/>
    </row>
    <row r="524" spans="1:28" ht="13">
      <c r="A524" s="2"/>
      <c r="B524" s="2"/>
      <c r="C524" s="2"/>
      <c r="D524" s="2"/>
      <c r="E524" s="2"/>
      <c r="F524" s="2"/>
      <c r="G524" s="43"/>
      <c r="H524" s="2"/>
      <c r="I524" s="2"/>
      <c r="J524" s="2"/>
      <c r="K524" s="2"/>
      <c r="L524" s="2"/>
      <c r="M524" s="2"/>
      <c r="N524" s="2"/>
      <c r="O524" s="2"/>
      <c r="P524" s="2"/>
      <c r="Q524" s="2"/>
      <c r="R524" s="2"/>
      <c r="S524" s="2"/>
      <c r="T524" s="2"/>
      <c r="U524" s="2"/>
      <c r="V524" s="2"/>
      <c r="W524" s="2"/>
      <c r="X524" s="2"/>
      <c r="Y524" s="2"/>
      <c r="Z524" s="2"/>
      <c r="AA524" s="2"/>
      <c r="AB524" s="2"/>
    </row>
    <row r="525" spans="1:28" ht="13">
      <c r="A525" s="2"/>
      <c r="B525" s="2"/>
      <c r="C525" s="2"/>
      <c r="D525" s="2"/>
      <c r="E525" s="2"/>
      <c r="F525" s="2"/>
      <c r="G525" s="43"/>
      <c r="H525" s="2"/>
      <c r="I525" s="2"/>
      <c r="J525" s="2"/>
      <c r="K525" s="2"/>
      <c r="L525" s="2"/>
      <c r="M525" s="2"/>
      <c r="N525" s="2"/>
      <c r="O525" s="2"/>
      <c r="P525" s="2"/>
      <c r="Q525" s="2"/>
      <c r="R525" s="2"/>
      <c r="S525" s="2"/>
      <c r="T525" s="2"/>
      <c r="U525" s="2"/>
      <c r="V525" s="2"/>
      <c r="W525" s="2"/>
      <c r="X525" s="2"/>
      <c r="Y525" s="2"/>
      <c r="Z525" s="2"/>
      <c r="AA525" s="2"/>
      <c r="AB525" s="2"/>
    </row>
    <row r="526" spans="1:28" ht="13">
      <c r="A526" s="2"/>
      <c r="B526" s="2"/>
      <c r="C526" s="2"/>
      <c r="D526" s="2"/>
      <c r="E526" s="2"/>
      <c r="F526" s="2"/>
      <c r="G526" s="43"/>
      <c r="H526" s="2"/>
      <c r="I526" s="2"/>
      <c r="J526" s="2"/>
      <c r="K526" s="2"/>
      <c r="L526" s="2"/>
      <c r="M526" s="2"/>
      <c r="N526" s="2"/>
      <c r="O526" s="2"/>
      <c r="P526" s="2"/>
      <c r="Q526" s="2"/>
      <c r="R526" s="2"/>
      <c r="S526" s="2"/>
      <c r="T526" s="2"/>
      <c r="U526" s="2"/>
      <c r="V526" s="2"/>
      <c r="W526" s="2"/>
      <c r="X526" s="2"/>
      <c r="Y526" s="2"/>
      <c r="Z526" s="2"/>
      <c r="AA526" s="2"/>
      <c r="AB526" s="2"/>
    </row>
    <row r="527" spans="1:28" ht="13">
      <c r="A527" s="2"/>
      <c r="B527" s="2"/>
      <c r="C527" s="2"/>
      <c r="D527" s="2"/>
      <c r="E527" s="2"/>
      <c r="F527" s="2"/>
      <c r="G527" s="43"/>
      <c r="H527" s="2"/>
      <c r="I527" s="2"/>
      <c r="J527" s="2"/>
      <c r="K527" s="2"/>
      <c r="L527" s="2"/>
      <c r="M527" s="2"/>
      <c r="N527" s="2"/>
      <c r="O527" s="2"/>
      <c r="P527" s="2"/>
      <c r="Q527" s="2"/>
      <c r="R527" s="2"/>
      <c r="S527" s="2"/>
      <c r="T527" s="2"/>
      <c r="U527" s="2"/>
      <c r="V527" s="2"/>
      <c r="W527" s="2"/>
      <c r="X527" s="2"/>
      <c r="Y527" s="2"/>
      <c r="Z527" s="2"/>
      <c r="AA527" s="2"/>
      <c r="AB527" s="2"/>
    </row>
    <row r="528" spans="1:28" ht="13">
      <c r="A528" s="2"/>
      <c r="B528" s="2"/>
      <c r="C528" s="2"/>
      <c r="D528" s="2"/>
      <c r="E528" s="2"/>
      <c r="F528" s="2"/>
      <c r="G528" s="43"/>
      <c r="H528" s="2"/>
      <c r="I528" s="2"/>
      <c r="J528" s="2"/>
      <c r="K528" s="2"/>
      <c r="L528" s="2"/>
      <c r="M528" s="2"/>
      <c r="N528" s="2"/>
      <c r="O528" s="2"/>
      <c r="P528" s="2"/>
      <c r="Q528" s="2"/>
      <c r="R528" s="2"/>
      <c r="S528" s="2"/>
      <c r="T528" s="2"/>
      <c r="U528" s="2"/>
      <c r="V528" s="2"/>
      <c r="W528" s="2"/>
      <c r="X528" s="2"/>
      <c r="Y528" s="2"/>
      <c r="Z528" s="2"/>
      <c r="AA528" s="2"/>
      <c r="AB528" s="2"/>
    </row>
    <row r="529" spans="1:28" ht="13">
      <c r="A529" s="2"/>
      <c r="B529" s="2"/>
      <c r="C529" s="2"/>
      <c r="D529" s="2"/>
      <c r="E529" s="2"/>
      <c r="F529" s="2"/>
      <c r="G529" s="43"/>
      <c r="H529" s="2"/>
      <c r="I529" s="2"/>
      <c r="J529" s="2"/>
      <c r="K529" s="2"/>
      <c r="L529" s="2"/>
      <c r="M529" s="2"/>
      <c r="N529" s="2"/>
      <c r="O529" s="2"/>
      <c r="P529" s="2"/>
      <c r="Q529" s="2"/>
      <c r="R529" s="2"/>
      <c r="S529" s="2"/>
      <c r="T529" s="2"/>
      <c r="U529" s="2"/>
      <c r="V529" s="2"/>
      <c r="W529" s="2"/>
      <c r="X529" s="2"/>
      <c r="Y529" s="2"/>
      <c r="Z529" s="2"/>
      <c r="AA529" s="2"/>
      <c r="AB529" s="2"/>
    </row>
    <row r="530" spans="1:28" ht="13">
      <c r="A530" s="2"/>
      <c r="B530" s="2"/>
      <c r="C530" s="2"/>
      <c r="D530" s="2"/>
      <c r="E530" s="2"/>
      <c r="F530" s="2"/>
      <c r="G530" s="43"/>
      <c r="H530" s="2"/>
      <c r="I530" s="2"/>
      <c r="J530" s="2"/>
      <c r="K530" s="2"/>
      <c r="L530" s="2"/>
      <c r="M530" s="2"/>
      <c r="N530" s="2"/>
      <c r="O530" s="2"/>
      <c r="P530" s="2"/>
      <c r="Q530" s="2"/>
      <c r="R530" s="2"/>
      <c r="S530" s="2"/>
      <c r="T530" s="2"/>
      <c r="U530" s="2"/>
      <c r="V530" s="2"/>
      <c r="W530" s="2"/>
      <c r="X530" s="2"/>
      <c r="Y530" s="2"/>
      <c r="Z530" s="2"/>
      <c r="AA530" s="2"/>
      <c r="AB530" s="2"/>
    </row>
    <row r="531" spans="1:28" ht="13">
      <c r="A531" s="2"/>
      <c r="B531" s="2"/>
      <c r="C531" s="2"/>
      <c r="D531" s="2"/>
      <c r="E531" s="2"/>
      <c r="F531" s="2"/>
      <c r="G531" s="43"/>
      <c r="H531" s="2"/>
      <c r="I531" s="2"/>
      <c r="J531" s="2"/>
      <c r="K531" s="2"/>
      <c r="L531" s="2"/>
      <c r="M531" s="2"/>
      <c r="N531" s="2"/>
      <c r="O531" s="2"/>
      <c r="P531" s="2"/>
      <c r="Q531" s="2"/>
      <c r="R531" s="2"/>
      <c r="S531" s="2"/>
      <c r="T531" s="2"/>
      <c r="U531" s="2"/>
      <c r="V531" s="2"/>
      <c r="W531" s="2"/>
      <c r="X531" s="2"/>
      <c r="Y531" s="2"/>
      <c r="Z531" s="2"/>
      <c r="AA531" s="2"/>
      <c r="AB531" s="2"/>
    </row>
    <row r="532" spans="1:28" ht="13">
      <c r="A532" s="2"/>
      <c r="B532" s="2"/>
      <c r="C532" s="2"/>
      <c r="D532" s="2"/>
      <c r="E532" s="2"/>
      <c r="F532" s="2"/>
      <c r="G532" s="43"/>
      <c r="H532" s="2"/>
      <c r="I532" s="2"/>
      <c r="J532" s="2"/>
      <c r="K532" s="2"/>
      <c r="L532" s="2"/>
      <c r="M532" s="2"/>
      <c r="N532" s="2"/>
      <c r="O532" s="2"/>
      <c r="P532" s="2"/>
      <c r="Q532" s="2"/>
      <c r="R532" s="2"/>
      <c r="S532" s="2"/>
      <c r="T532" s="2"/>
      <c r="U532" s="2"/>
      <c r="V532" s="2"/>
      <c r="W532" s="2"/>
      <c r="X532" s="2"/>
      <c r="Y532" s="2"/>
      <c r="Z532" s="2"/>
      <c r="AA532" s="2"/>
      <c r="AB532" s="2"/>
    </row>
    <row r="533" spans="1:28" ht="13">
      <c r="A533" s="2"/>
      <c r="B533" s="2"/>
      <c r="C533" s="2"/>
      <c r="D533" s="2"/>
      <c r="E533" s="2"/>
      <c r="F533" s="2"/>
      <c r="G533" s="43"/>
      <c r="H533" s="2"/>
      <c r="I533" s="2"/>
      <c r="J533" s="2"/>
      <c r="K533" s="2"/>
      <c r="L533" s="2"/>
      <c r="M533" s="2"/>
      <c r="N533" s="2"/>
      <c r="O533" s="2"/>
      <c r="P533" s="2"/>
      <c r="Q533" s="2"/>
      <c r="R533" s="2"/>
      <c r="S533" s="2"/>
      <c r="T533" s="2"/>
      <c r="U533" s="2"/>
      <c r="V533" s="2"/>
      <c r="W533" s="2"/>
      <c r="X533" s="2"/>
      <c r="Y533" s="2"/>
      <c r="Z533" s="2"/>
      <c r="AA533" s="2"/>
      <c r="AB533" s="2"/>
    </row>
    <row r="534" spans="1:28" ht="13">
      <c r="A534" s="2"/>
      <c r="B534" s="2"/>
      <c r="C534" s="2"/>
      <c r="D534" s="2"/>
      <c r="E534" s="2"/>
      <c r="F534" s="2"/>
      <c r="G534" s="43"/>
      <c r="H534" s="2"/>
      <c r="I534" s="2"/>
      <c r="J534" s="2"/>
      <c r="K534" s="2"/>
      <c r="L534" s="2"/>
      <c r="M534" s="2"/>
      <c r="N534" s="2"/>
      <c r="O534" s="2"/>
      <c r="P534" s="2"/>
      <c r="Q534" s="2"/>
      <c r="R534" s="2"/>
      <c r="S534" s="2"/>
      <c r="T534" s="2"/>
      <c r="U534" s="2"/>
      <c r="V534" s="2"/>
      <c r="W534" s="2"/>
      <c r="X534" s="2"/>
      <c r="Y534" s="2"/>
      <c r="Z534" s="2"/>
      <c r="AA534" s="2"/>
      <c r="AB534" s="2"/>
    </row>
    <row r="535" spans="1:28" ht="13">
      <c r="A535" s="2"/>
      <c r="B535" s="2"/>
      <c r="C535" s="2"/>
      <c r="D535" s="2"/>
      <c r="E535" s="2"/>
      <c r="F535" s="2"/>
      <c r="G535" s="43"/>
      <c r="H535" s="2"/>
      <c r="I535" s="2"/>
      <c r="J535" s="2"/>
      <c r="K535" s="2"/>
      <c r="L535" s="2"/>
      <c r="M535" s="2"/>
      <c r="N535" s="2"/>
      <c r="O535" s="2"/>
      <c r="P535" s="2"/>
      <c r="Q535" s="2"/>
      <c r="R535" s="2"/>
      <c r="S535" s="2"/>
      <c r="T535" s="2"/>
      <c r="U535" s="2"/>
      <c r="V535" s="2"/>
      <c r="W535" s="2"/>
      <c r="X535" s="2"/>
      <c r="Y535" s="2"/>
      <c r="Z535" s="2"/>
      <c r="AA535" s="2"/>
      <c r="AB535" s="2"/>
    </row>
    <row r="536" spans="1:28" ht="13">
      <c r="A536" s="2"/>
      <c r="B536" s="2"/>
      <c r="C536" s="2"/>
      <c r="D536" s="2"/>
      <c r="E536" s="2"/>
      <c r="F536" s="2"/>
      <c r="G536" s="43"/>
      <c r="H536" s="2"/>
      <c r="I536" s="2"/>
      <c r="J536" s="2"/>
      <c r="K536" s="2"/>
      <c r="L536" s="2"/>
      <c r="M536" s="2"/>
      <c r="N536" s="2"/>
      <c r="O536" s="2"/>
      <c r="P536" s="2"/>
      <c r="Q536" s="2"/>
      <c r="R536" s="2"/>
      <c r="S536" s="2"/>
      <c r="T536" s="2"/>
      <c r="U536" s="2"/>
      <c r="V536" s="2"/>
      <c r="W536" s="2"/>
      <c r="X536" s="2"/>
      <c r="Y536" s="2"/>
      <c r="Z536" s="2"/>
      <c r="AA536" s="2"/>
      <c r="AB536" s="2"/>
    </row>
    <row r="537" spans="1:28" ht="13">
      <c r="A537" s="2"/>
      <c r="B537" s="2"/>
      <c r="C537" s="2"/>
      <c r="D537" s="2"/>
      <c r="E537" s="2"/>
      <c r="F537" s="2"/>
      <c r="G537" s="43"/>
      <c r="H537" s="2"/>
      <c r="I537" s="2"/>
      <c r="J537" s="2"/>
      <c r="K537" s="2"/>
      <c r="L537" s="2"/>
      <c r="M537" s="2"/>
      <c r="N537" s="2"/>
      <c r="O537" s="2"/>
      <c r="P537" s="2"/>
      <c r="Q537" s="2"/>
      <c r="R537" s="2"/>
      <c r="S537" s="2"/>
      <c r="T537" s="2"/>
      <c r="U537" s="2"/>
      <c r="V537" s="2"/>
      <c r="W537" s="2"/>
      <c r="X537" s="2"/>
      <c r="Y537" s="2"/>
      <c r="Z537" s="2"/>
      <c r="AA537" s="2"/>
      <c r="AB537" s="2"/>
    </row>
    <row r="538" spans="1:28" ht="13">
      <c r="A538" s="2"/>
      <c r="B538" s="2"/>
      <c r="C538" s="2"/>
      <c r="D538" s="2"/>
      <c r="E538" s="2"/>
      <c r="F538" s="2"/>
      <c r="G538" s="43"/>
      <c r="H538" s="2"/>
      <c r="I538" s="2"/>
      <c r="J538" s="2"/>
      <c r="K538" s="2"/>
      <c r="L538" s="2"/>
      <c r="M538" s="2"/>
      <c r="N538" s="2"/>
      <c r="O538" s="2"/>
      <c r="P538" s="2"/>
      <c r="Q538" s="2"/>
      <c r="R538" s="2"/>
      <c r="S538" s="2"/>
      <c r="T538" s="2"/>
      <c r="U538" s="2"/>
      <c r="V538" s="2"/>
      <c r="W538" s="2"/>
      <c r="X538" s="2"/>
      <c r="Y538" s="2"/>
      <c r="Z538" s="2"/>
      <c r="AA538" s="2"/>
      <c r="AB538" s="2"/>
    </row>
    <row r="539" spans="1:28" ht="13">
      <c r="A539" s="2"/>
      <c r="B539" s="2"/>
      <c r="C539" s="2"/>
      <c r="D539" s="2"/>
      <c r="E539" s="2"/>
      <c r="F539" s="2"/>
      <c r="G539" s="43"/>
      <c r="H539" s="2"/>
      <c r="I539" s="2"/>
      <c r="J539" s="2"/>
      <c r="K539" s="2"/>
      <c r="L539" s="2"/>
      <c r="M539" s="2"/>
      <c r="N539" s="2"/>
      <c r="O539" s="2"/>
      <c r="P539" s="2"/>
      <c r="Q539" s="2"/>
      <c r="R539" s="2"/>
      <c r="S539" s="2"/>
      <c r="T539" s="2"/>
      <c r="U539" s="2"/>
      <c r="V539" s="2"/>
      <c r="W539" s="2"/>
      <c r="X539" s="2"/>
      <c r="Y539" s="2"/>
      <c r="Z539" s="2"/>
      <c r="AA539" s="2"/>
      <c r="AB539" s="2"/>
    </row>
    <row r="540" spans="1:28" ht="13">
      <c r="A540" s="2"/>
      <c r="B540" s="2"/>
      <c r="C540" s="2"/>
      <c r="D540" s="2"/>
      <c r="E540" s="2"/>
      <c r="F540" s="2"/>
      <c r="G540" s="43"/>
      <c r="H540" s="2"/>
      <c r="I540" s="2"/>
      <c r="J540" s="2"/>
      <c r="K540" s="2"/>
      <c r="L540" s="2"/>
      <c r="M540" s="2"/>
      <c r="N540" s="2"/>
      <c r="O540" s="2"/>
      <c r="P540" s="2"/>
      <c r="Q540" s="2"/>
      <c r="R540" s="2"/>
      <c r="S540" s="2"/>
      <c r="T540" s="2"/>
      <c r="U540" s="2"/>
      <c r="V540" s="2"/>
      <c r="W540" s="2"/>
      <c r="X540" s="2"/>
      <c r="Y540" s="2"/>
      <c r="Z540" s="2"/>
      <c r="AA540" s="2"/>
      <c r="AB540" s="2"/>
    </row>
    <row r="541" spans="1:28" ht="13">
      <c r="A541" s="2"/>
      <c r="B541" s="2"/>
      <c r="C541" s="2"/>
      <c r="D541" s="2"/>
      <c r="E541" s="2"/>
      <c r="F541" s="2"/>
      <c r="G541" s="43"/>
      <c r="H541" s="2"/>
      <c r="I541" s="2"/>
      <c r="J541" s="2"/>
      <c r="K541" s="2"/>
      <c r="L541" s="2"/>
      <c r="M541" s="2"/>
      <c r="N541" s="2"/>
      <c r="O541" s="2"/>
      <c r="P541" s="2"/>
      <c r="Q541" s="2"/>
      <c r="R541" s="2"/>
      <c r="S541" s="2"/>
      <c r="T541" s="2"/>
      <c r="U541" s="2"/>
      <c r="V541" s="2"/>
      <c r="W541" s="2"/>
      <c r="X541" s="2"/>
      <c r="Y541" s="2"/>
      <c r="Z541" s="2"/>
      <c r="AA541" s="2"/>
      <c r="AB541" s="2"/>
    </row>
    <row r="542" spans="1:28" ht="13">
      <c r="A542" s="2"/>
      <c r="B542" s="2"/>
      <c r="C542" s="2"/>
      <c r="D542" s="2"/>
      <c r="E542" s="2"/>
      <c r="F542" s="2"/>
      <c r="G542" s="43"/>
      <c r="H542" s="2"/>
      <c r="I542" s="2"/>
      <c r="J542" s="2"/>
      <c r="K542" s="2"/>
      <c r="L542" s="2"/>
      <c r="M542" s="2"/>
      <c r="N542" s="2"/>
      <c r="O542" s="2"/>
      <c r="P542" s="2"/>
      <c r="Q542" s="2"/>
      <c r="R542" s="2"/>
      <c r="S542" s="2"/>
      <c r="T542" s="2"/>
      <c r="U542" s="2"/>
      <c r="V542" s="2"/>
      <c r="W542" s="2"/>
      <c r="X542" s="2"/>
      <c r="Y542" s="2"/>
      <c r="Z542" s="2"/>
      <c r="AA542" s="2"/>
      <c r="AB542" s="2"/>
    </row>
    <row r="543" spans="1:28" ht="13">
      <c r="A543" s="2"/>
      <c r="B543" s="2"/>
      <c r="C543" s="2"/>
      <c r="D543" s="2"/>
      <c r="E543" s="2"/>
      <c r="F543" s="2"/>
      <c r="G543" s="43"/>
      <c r="H543" s="2"/>
      <c r="I543" s="2"/>
      <c r="J543" s="2"/>
      <c r="K543" s="2"/>
      <c r="L543" s="2"/>
      <c r="M543" s="2"/>
      <c r="N543" s="2"/>
      <c r="O543" s="2"/>
      <c r="P543" s="2"/>
      <c r="Q543" s="2"/>
      <c r="R543" s="2"/>
      <c r="S543" s="2"/>
      <c r="T543" s="2"/>
      <c r="U543" s="2"/>
      <c r="V543" s="2"/>
      <c r="W543" s="2"/>
      <c r="X543" s="2"/>
      <c r="Y543" s="2"/>
      <c r="Z543" s="2"/>
      <c r="AA543" s="2"/>
      <c r="AB543" s="2"/>
    </row>
    <row r="544" spans="1:28" ht="13">
      <c r="A544" s="2"/>
      <c r="B544" s="2"/>
      <c r="C544" s="2"/>
      <c r="D544" s="2"/>
      <c r="E544" s="2"/>
      <c r="F544" s="2"/>
      <c r="G544" s="43"/>
      <c r="H544" s="2"/>
      <c r="I544" s="2"/>
      <c r="J544" s="2"/>
      <c r="K544" s="2"/>
      <c r="L544" s="2"/>
      <c r="M544" s="2"/>
      <c r="N544" s="2"/>
      <c r="O544" s="2"/>
      <c r="P544" s="2"/>
      <c r="Q544" s="2"/>
      <c r="R544" s="2"/>
      <c r="S544" s="2"/>
      <c r="T544" s="2"/>
      <c r="U544" s="2"/>
      <c r="V544" s="2"/>
      <c r="W544" s="2"/>
      <c r="X544" s="2"/>
      <c r="Y544" s="2"/>
      <c r="Z544" s="2"/>
      <c r="AA544" s="2"/>
      <c r="AB544" s="2"/>
    </row>
    <row r="545" spans="1:28" ht="13">
      <c r="A545" s="2"/>
      <c r="B545" s="2"/>
      <c r="C545" s="2"/>
      <c r="D545" s="2"/>
      <c r="E545" s="2"/>
      <c r="F545" s="2"/>
      <c r="G545" s="43"/>
      <c r="H545" s="2"/>
      <c r="I545" s="2"/>
      <c r="J545" s="2"/>
      <c r="K545" s="2"/>
      <c r="L545" s="2"/>
      <c r="M545" s="2"/>
      <c r="N545" s="2"/>
      <c r="O545" s="2"/>
      <c r="P545" s="2"/>
      <c r="Q545" s="2"/>
      <c r="R545" s="2"/>
      <c r="S545" s="2"/>
      <c r="T545" s="2"/>
      <c r="U545" s="2"/>
      <c r="V545" s="2"/>
      <c r="W545" s="2"/>
      <c r="X545" s="2"/>
      <c r="Y545" s="2"/>
      <c r="Z545" s="2"/>
      <c r="AA545" s="2"/>
      <c r="AB545" s="2"/>
    </row>
    <row r="546" spans="1:28" ht="13">
      <c r="A546" s="2"/>
      <c r="B546" s="2"/>
      <c r="C546" s="2"/>
      <c r="D546" s="2"/>
      <c r="E546" s="2"/>
      <c r="F546" s="2"/>
      <c r="G546" s="43"/>
      <c r="H546" s="2"/>
      <c r="I546" s="2"/>
      <c r="J546" s="2"/>
      <c r="K546" s="2"/>
      <c r="L546" s="2"/>
      <c r="M546" s="2"/>
      <c r="N546" s="2"/>
      <c r="O546" s="2"/>
      <c r="P546" s="2"/>
      <c r="Q546" s="2"/>
      <c r="R546" s="2"/>
      <c r="S546" s="2"/>
      <c r="T546" s="2"/>
      <c r="U546" s="2"/>
      <c r="V546" s="2"/>
      <c r="W546" s="2"/>
      <c r="X546" s="2"/>
      <c r="Y546" s="2"/>
      <c r="Z546" s="2"/>
      <c r="AA546" s="2"/>
      <c r="AB546" s="2"/>
    </row>
    <row r="547" spans="1:28" ht="13">
      <c r="A547" s="2"/>
      <c r="B547" s="2"/>
      <c r="C547" s="2"/>
      <c r="D547" s="2"/>
      <c r="E547" s="2"/>
      <c r="F547" s="2"/>
      <c r="G547" s="43"/>
      <c r="H547" s="2"/>
      <c r="I547" s="2"/>
      <c r="J547" s="2"/>
      <c r="K547" s="2"/>
      <c r="L547" s="2"/>
      <c r="M547" s="2"/>
      <c r="N547" s="2"/>
      <c r="O547" s="2"/>
      <c r="P547" s="2"/>
      <c r="Q547" s="2"/>
      <c r="R547" s="2"/>
      <c r="S547" s="2"/>
      <c r="T547" s="2"/>
      <c r="U547" s="2"/>
      <c r="V547" s="2"/>
      <c r="W547" s="2"/>
      <c r="X547" s="2"/>
      <c r="Y547" s="2"/>
      <c r="Z547" s="2"/>
      <c r="AA547" s="2"/>
      <c r="AB547" s="2"/>
    </row>
    <row r="548" spans="1:28" ht="13">
      <c r="A548" s="2"/>
      <c r="B548" s="2"/>
      <c r="C548" s="2"/>
      <c r="D548" s="2"/>
      <c r="E548" s="2"/>
      <c r="F548" s="2"/>
      <c r="G548" s="43"/>
      <c r="H548" s="2"/>
      <c r="I548" s="2"/>
      <c r="J548" s="2"/>
      <c r="K548" s="2"/>
      <c r="L548" s="2"/>
      <c r="M548" s="2"/>
      <c r="N548" s="2"/>
      <c r="O548" s="2"/>
      <c r="P548" s="2"/>
      <c r="Q548" s="2"/>
      <c r="R548" s="2"/>
      <c r="S548" s="2"/>
      <c r="T548" s="2"/>
      <c r="U548" s="2"/>
      <c r="V548" s="2"/>
      <c r="W548" s="2"/>
      <c r="X548" s="2"/>
      <c r="Y548" s="2"/>
      <c r="Z548" s="2"/>
      <c r="AA548" s="2"/>
      <c r="AB548" s="2"/>
    </row>
    <row r="549" spans="1:28" ht="13">
      <c r="A549" s="2"/>
      <c r="B549" s="2"/>
      <c r="C549" s="2"/>
      <c r="D549" s="2"/>
      <c r="E549" s="2"/>
      <c r="F549" s="2"/>
      <c r="G549" s="43"/>
      <c r="H549" s="2"/>
      <c r="I549" s="2"/>
      <c r="J549" s="2"/>
      <c r="K549" s="2"/>
      <c r="L549" s="2"/>
      <c r="M549" s="2"/>
      <c r="N549" s="2"/>
      <c r="O549" s="2"/>
      <c r="P549" s="2"/>
      <c r="Q549" s="2"/>
      <c r="R549" s="2"/>
      <c r="S549" s="2"/>
      <c r="T549" s="2"/>
      <c r="U549" s="2"/>
      <c r="V549" s="2"/>
      <c r="W549" s="2"/>
      <c r="X549" s="2"/>
      <c r="Y549" s="2"/>
      <c r="Z549" s="2"/>
      <c r="AA549" s="2"/>
      <c r="AB549" s="2"/>
    </row>
    <row r="550" spans="1:28" ht="13">
      <c r="A550" s="2"/>
      <c r="B550" s="2"/>
      <c r="C550" s="2"/>
      <c r="D550" s="2"/>
      <c r="E550" s="2"/>
      <c r="F550" s="2"/>
      <c r="G550" s="43"/>
      <c r="H550" s="2"/>
      <c r="I550" s="2"/>
      <c r="J550" s="2"/>
      <c r="K550" s="2"/>
      <c r="L550" s="2"/>
      <c r="M550" s="2"/>
      <c r="N550" s="2"/>
      <c r="O550" s="2"/>
      <c r="P550" s="2"/>
      <c r="Q550" s="2"/>
      <c r="R550" s="2"/>
      <c r="S550" s="2"/>
      <c r="T550" s="2"/>
      <c r="U550" s="2"/>
      <c r="V550" s="2"/>
      <c r="W550" s="2"/>
      <c r="X550" s="2"/>
      <c r="Y550" s="2"/>
      <c r="Z550" s="2"/>
      <c r="AA550" s="2"/>
      <c r="AB550" s="2"/>
    </row>
    <row r="551" spans="1:28" ht="13">
      <c r="A551" s="2"/>
      <c r="B551" s="2"/>
      <c r="C551" s="2"/>
      <c r="D551" s="2"/>
      <c r="E551" s="2"/>
      <c r="F551" s="2"/>
      <c r="G551" s="43"/>
      <c r="H551" s="2"/>
      <c r="I551" s="2"/>
      <c r="J551" s="2"/>
      <c r="K551" s="2"/>
      <c r="L551" s="2"/>
      <c r="M551" s="2"/>
      <c r="N551" s="2"/>
      <c r="O551" s="2"/>
      <c r="P551" s="2"/>
      <c r="Q551" s="2"/>
      <c r="R551" s="2"/>
      <c r="S551" s="2"/>
      <c r="T551" s="2"/>
      <c r="U551" s="2"/>
      <c r="V551" s="2"/>
      <c r="W551" s="2"/>
      <c r="X551" s="2"/>
      <c r="Y551" s="2"/>
      <c r="Z551" s="2"/>
      <c r="AA551" s="2"/>
      <c r="AB551" s="2"/>
    </row>
    <row r="552" spans="1:28" ht="13">
      <c r="A552" s="2"/>
      <c r="B552" s="2"/>
      <c r="C552" s="2"/>
      <c r="D552" s="2"/>
      <c r="E552" s="2"/>
      <c r="F552" s="2"/>
      <c r="G552" s="43"/>
      <c r="H552" s="2"/>
      <c r="I552" s="2"/>
      <c r="J552" s="2"/>
      <c r="K552" s="2"/>
      <c r="L552" s="2"/>
      <c r="M552" s="2"/>
      <c r="N552" s="2"/>
      <c r="O552" s="2"/>
      <c r="P552" s="2"/>
      <c r="Q552" s="2"/>
      <c r="R552" s="2"/>
      <c r="S552" s="2"/>
      <c r="T552" s="2"/>
      <c r="U552" s="2"/>
      <c r="V552" s="2"/>
      <c r="W552" s="2"/>
      <c r="X552" s="2"/>
      <c r="Y552" s="2"/>
      <c r="Z552" s="2"/>
      <c r="AA552" s="2"/>
      <c r="AB552" s="2"/>
    </row>
    <row r="553" spans="1:28" ht="13">
      <c r="A553" s="2"/>
      <c r="B553" s="2"/>
      <c r="C553" s="2"/>
      <c r="D553" s="2"/>
      <c r="E553" s="2"/>
      <c r="F553" s="2"/>
      <c r="G553" s="43"/>
      <c r="H553" s="2"/>
      <c r="I553" s="2"/>
      <c r="J553" s="2"/>
      <c r="K553" s="2"/>
      <c r="L553" s="2"/>
      <c r="M553" s="2"/>
      <c r="N553" s="2"/>
      <c r="O553" s="2"/>
      <c r="P553" s="2"/>
      <c r="Q553" s="2"/>
      <c r="R553" s="2"/>
      <c r="S553" s="2"/>
      <c r="T553" s="2"/>
      <c r="U553" s="2"/>
      <c r="V553" s="2"/>
      <c r="W553" s="2"/>
      <c r="X553" s="2"/>
      <c r="Y553" s="2"/>
      <c r="Z553" s="2"/>
      <c r="AA553" s="2"/>
      <c r="AB553" s="2"/>
    </row>
    <row r="554" spans="1:28" ht="13">
      <c r="A554" s="2"/>
      <c r="B554" s="2"/>
      <c r="C554" s="2"/>
      <c r="D554" s="2"/>
      <c r="E554" s="2"/>
      <c r="F554" s="2"/>
      <c r="G554" s="43"/>
      <c r="H554" s="2"/>
      <c r="I554" s="2"/>
      <c r="J554" s="2"/>
      <c r="K554" s="2"/>
      <c r="L554" s="2"/>
      <c r="M554" s="2"/>
      <c r="N554" s="2"/>
      <c r="O554" s="2"/>
      <c r="P554" s="2"/>
      <c r="Q554" s="2"/>
      <c r="R554" s="2"/>
      <c r="S554" s="2"/>
      <c r="T554" s="2"/>
      <c r="U554" s="2"/>
      <c r="V554" s="2"/>
      <c r="W554" s="2"/>
      <c r="X554" s="2"/>
      <c r="Y554" s="2"/>
      <c r="Z554" s="2"/>
      <c r="AA554" s="2"/>
      <c r="AB554" s="2"/>
    </row>
    <row r="555" spans="1:28" ht="13">
      <c r="A555" s="2"/>
      <c r="B555" s="2"/>
      <c r="C555" s="2"/>
      <c r="D555" s="2"/>
      <c r="E555" s="2"/>
      <c r="F555" s="2"/>
      <c r="G555" s="43"/>
      <c r="H555" s="2"/>
      <c r="I555" s="2"/>
      <c r="J555" s="2"/>
      <c r="K555" s="2"/>
      <c r="L555" s="2"/>
      <c r="M555" s="2"/>
      <c r="N555" s="2"/>
      <c r="O555" s="2"/>
      <c r="P555" s="2"/>
      <c r="Q555" s="2"/>
      <c r="R555" s="2"/>
      <c r="S555" s="2"/>
      <c r="T555" s="2"/>
      <c r="U555" s="2"/>
      <c r="V555" s="2"/>
      <c r="W555" s="2"/>
      <c r="X555" s="2"/>
      <c r="Y555" s="2"/>
      <c r="Z555" s="2"/>
      <c r="AA555" s="2"/>
      <c r="AB555" s="2"/>
    </row>
    <row r="556" spans="1:28" ht="13">
      <c r="A556" s="2"/>
      <c r="B556" s="2"/>
      <c r="C556" s="2"/>
      <c r="D556" s="2"/>
      <c r="E556" s="2"/>
      <c r="F556" s="2"/>
      <c r="G556" s="43"/>
      <c r="H556" s="2"/>
      <c r="I556" s="2"/>
      <c r="J556" s="2"/>
      <c r="K556" s="2"/>
      <c r="L556" s="2"/>
      <c r="M556" s="2"/>
      <c r="N556" s="2"/>
      <c r="O556" s="2"/>
      <c r="P556" s="2"/>
      <c r="Q556" s="2"/>
      <c r="R556" s="2"/>
      <c r="S556" s="2"/>
      <c r="T556" s="2"/>
      <c r="U556" s="2"/>
      <c r="V556" s="2"/>
      <c r="W556" s="2"/>
      <c r="X556" s="2"/>
      <c r="Y556" s="2"/>
      <c r="Z556" s="2"/>
      <c r="AA556" s="2"/>
      <c r="AB556" s="2"/>
    </row>
    <row r="557" spans="1:28" ht="13">
      <c r="A557" s="2"/>
      <c r="B557" s="2"/>
      <c r="C557" s="2"/>
      <c r="D557" s="2"/>
      <c r="E557" s="2"/>
      <c r="F557" s="2"/>
      <c r="G557" s="43"/>
      <c r="H557" s="2"/>
      <c r="I557" s="2"/>
      <c r="J557" s="2"/>
      <c r="K557" s="2"/>
      <c r="L557" s="2"/>
      <c r="M557" s="2"/>
      <c r="N557" s="2"/>
      <c r="O557" s="2"/>
      <c r="P557" s="2"/>
      <c r="Q557" s="2"/>
      <c r="R557" s="2"/>
      <c r="S557" s="2"/>
      <c r="T557" s="2"/>
      <c r="U557" s="2"/>
      <c r="V557" s="2"/>
      <c r="W557" s="2"/>
      <c r="X557" s="2"/>
      <c r="Y557" s="2"/>
      <c r="Z557" s="2"/>
      <c r="AA557" s="2"/>
      <c r="AB557" s="2"/>
    </row>
    <row r="558" spans="1:28" ht="13">
      <c r="A558" s="2"/>
      <c r="B558" s="2"/>
      <c r="C558" s="2"/>
      <c r="D558" s="2"/>
      <c r="E558" s="2"/>
      <c r="F558" s="2"/>
      <c r="G558" s="43"/>
      <c r="H558" s="2"/>
      <c r="I558" s="2"/>
      <c r="J558" s="2"/>
      <c r="K558" s="2"/>
      <c r="L558" s="2"/>
      <c r="M558" s="2"/>
      <c r="N558" s="2"/>
      <c r="O558" s="2"/>
      <c r="P558" s="2"/>
      <c r="Q558" s="2"/>
      <c r="R558" s="2"/>
      <c r="S558" s="2"/>
      <c r="T558" s="2"/>
      <c r="U558" s="2"/>
      <c r="V558" s="2"/>
      <c r="W558" s="2"/>
      <c r="X558" s="2"/>
      <c r="Y558" s="2"/>
      <c r="Z558" s="2"/>
      <c r="AA558" s="2"/>
      <c r="AB558" s="2"/>
    </row>
    <row r="559" spans="1:28" ht="13">
      <c r="A559" s="2"/>
      <c r="B559" s="2"/>
      <c r="C559" s="2"/>
      <c r="D559" s="2"/>
      <c r="E559" s="2"/>
      <c r="F559" s="2"/>
      <c r="G559" s="43"/>
      <c r="H559" s="2"/>
      <c r="I559" s="2"/>
      <c r="J559" s="2"/>
      <c r="K559" s="2"/>
      <c r="L559" s="2"/>
      <c r="M559" s="2"/>
      <c r="N559" s="2"/>
      <c r="O559" s="2"/>
      <c r="P559" s="2"/>
      <c r="Q559" s="2"/>
      <c r="R559" s="2"/>
      <c r="S559" s="2"/>
      <c r="T559" s="2"/>
      <c r="U559" s="2"/>
      <c r="V559" s="2"/>
      <c r="W559" s="2"/>
      <c r="X559" s="2"/>
      <c r="Y559" s="2"/>
      <c r="Z559" s="2"/>
      <c r="AA559" s="2"/>
      <c r="AB559" s="2"/>
    </row>
    <row r="560" spans="1:28" ht="13">
      <c r="A560" s="2"/>
      <c r="B560" s="2"/>
      <c r="C560" s="2"/>
      <c r="D560" s="2"/>
      <c r="E560" s="2"/>
      <c r="F560" s="2"/>
      <c r="G560" s="43"/>
      <c r="H560" s="2"/>
      <c r="I560" s="2"/>
      <c r="J560" s="2"/>
      <c r="K560" s="2"/>
      <c r="L560" s="2"/>
      <c r="M560" s="2"/>
      <c r="N560" s="2"/>
      <c r="O560" s="2"/>
      <c r="P560" s="2"/>
      <c r="Q560" s="2"/>
      <c r="R560" s="2"/>
      <c r="S560" s="2"/>
      <c r="T560" s="2"/>
      <c r="U560" s="2"/>
      <c r="V560" s="2"/>
      <c r="W560" s="2"/>
      <c r="X560" s="2"/>
      <c r="Y560" s="2"/>
      <c r="Z560" s="2"/>
      <c r="AA560" s="2"/>
      <c r="AB560" s="2"/>
    </row>
    <row r="561" spans="1:28" ht="13">
      <c r="A561" s="2"/>
      <c r="B561" s="2"/>
      <c r="C561" s="2"/>
      <c r="D561" s="2"/>
      <c r="E561" s="2"/>
      <c r="F561" s="2"/>
      <c r="G561" s="43"/>
      <c r="H561" s="2"/>
      <c r="I561" s="2"/>
      <c r="J561" s="2"/>
      <c r="K561" s="2"/>
      <c r="L561" s="2"/>
      <c r="M561" s="2"/>
      <c r="N561" s="2"/>
      <c r="O561" s="2"/>
      <c r="P561" s="2"/>
      <c r="Q561" s="2"/>
      <c r="R561" s="2"/>
      <c r="S561" s="2"/>
      <c r="T561" s="2"/>
      <c r="U561" s="2"/>
      <c r="V561" s="2"/>
      <c r="W561" s="2"/>
      <c r="X561" s="2"/>
      <c r="Y561" s="2"/>
      <c r="Z561" s="2"/>
      <c r="AA561" s="2"/>
      <c r="AB561" s="2"/>
    </row>
    <row r="562" spans="1:28" ht="13">
      <c r="A562" s="2"/>
      <c r="B562" s="2"/>
      <c r="C562" s="2"/>
      <c r="D562" s="2"/>
      <c r="E562" s="2"/>
      <c r="F562" s="2"/>
      <c r="G562" s="43"/>
      <c r="H562" s="2"/>
      <c r="I562" s="2"/>
      <c r="J562" s="2"/>
      <c r="K562" s="2"/>
      <c r="L562" s="2"/>
      <c r="M562" s="2"/>
      <c r="N562" s="2"/>
      <c r="O562" s="2"/>
      <c r="P562" s="2"/>
      <c r="Q562" s="2"/>
      <c r="R562" s="2"/>
      <c r="S562" s="2"/>
      <c r="T562" s="2"/>
      <c r="U562" s="2"/>
      <c r="V562" s="2"/>
      <c r="W562" s="2"/>
      <c r="X562" s="2"/>
      <c r="Y562" s="2"/>
      <c r="Z562" s="2"/>
      <c r="AA562" s="2"/>
      <c r="AB562" s="2"/>
    </row>
    <row r="563" spans="1:28" ht="13">
      <c r="A563" s="2"/>
      <c r="B563" s="2"/>
      <c r="C563" s="2"/>
      <c r="D563" s="2"/>
      <c r="E563" s="2"/>
      <c r="F563" s="2"/>
      <c r="G563" s="43"/>
      <c r="H563" s="2"/>
      <c r="I563" s="2"/>
      <c r="J563" s="2"/>
      <c r="K563" s="2"/>
      <c r="L563" s="2"/>
      <c r="M563" s="2"/>
      <c r="N563" s="2"/>
      <c r="O563" s="2"/>
      <c r="P563" s="2"/>
      <c r="Q563" s="2"/>
      <c r="R563" s="2"/>
      <c r="S563" s="2"/>
      <c r="T563" s="2"/>
      <c r="U563" s="2"/>
      <c r="V563" s="2"/>
      <c r="W563" s="2"/>
      <c r="X563" s="2"/>
      <c r="Y563" s="2"/>
      <c r="Z563" s="2"/>
      <c r="AA563" s="2"/>
      <c r="AB563" s="2"/>
    </row>
    <row r="564" spans="1:28" ht="13">
      <c r="A564" s="2"/>
      <c r="B564" s="2"/>
      <c r="C564" s="2"/>
      <c r="D564" s="2"/>
      <c r="E564" s="2"/>
      <c r="F564" s="2"/>
      <c r="G564" s="43"/>
      <c r="H564" s="2"/>
      <c r="I564" s="2"/>
      <c r="J564" s="2"/>
      <c r="K564" s="2"/>
      <c r="L564" s="2"/>
      <c r="M564" s="2"/>
      <c r="N564" s="2"/>
      <c r="O564" s="2"/>
      <c r="P564" s="2"/>
      <c r="Q564" s="2"/>
      <c r="R564" s="2"/>
      <c r="S564" s="2"/>
      <c r="T564" s="2"/>
      <c r="U564" s="2"/>
      <c r="V564" s="2"/>
      <c r="W564" s="2"/>
      <c r="X564" s="2"/>
      <c r="Y564" s="2"/>
      <c r="Z564" s="2"/>
      <c r="AA564" s="2"/>
      <c r="AB564" s="2"/>
    </row>
    <row r="565" spans="1:28" ht="13">
      <c r="A565" s="2"/>
      <c r="B565" s="2"/>
      <c r="C565" s="2"/>
      <c r="D565" s="2"/>
      <c r="E565" s="2"/>
      <c r="F565" s="2"/>
      <c r="G565" s="43"/>
      <c r="H565" s="2"/>
      <c r="I565" s="2"/>
      <c r="J565" s="2"/>
      <c r="K565" s="2"/>
      <c r="L565" s="2"/>
      <c r="M565" s="2"/>
      <c r="N565" s="2"/>
      <c r="O565" s="2"/>
      <c r="P565" s="2"/>
      <c r="Q565" s="2"/>
      <c r="R565" s="2"/>
      <c r="S565" s="2"/>
      <c r="T565" s="2"/>
      <c r="U565" s="2"/>
      <c r="V565" s="2"/>
      <c r="W565" s="2"/>
      <c r="X565" s="2"/>
      <c r="Y565" s="2"/>
      <c r="Z565" s="2"/>
      <c r="AA565" s="2"/>
      <c r="AB565" s="2"/>
    </row>
    <row r="566" spans="1:28" ht="13">
      <c r="A566" s="2"/>
      <c r="B566" s="2"/>
      <c r="C566" s="2"/>
      <c r="D566" s="2"/>
      <c r="E566" s="2"/>
      <c r="F566" s="2"/>
      <c r="G566" s="43"/>
      <c r="H566" s="2"/>
      <c r="I566" s="2"/>
      <c r="J566" s="2"/>
      <c r="K566" s="2"/>
      <c r="L566" s="2"/>
      <c r="M566" s="2"/>
      <c r="N566" s="2"/>
      <c r="O566" s="2"/>
      <c r="P566" s="2"/>
      <c r="Q566" s="2"/>
      <c r="R566" s="2"/>
      <c r="S566" s="2"/>
      <c r="T566" s="2"/>
      <c r="U566" s="2"/>
      <c r="V566" s="2"/>
      <c r="W566" s="2"/>
      <c r="X566" s="2"/>
      <c r="Y566" s="2"/>
      <c r="Z566" s="2"/>
      <c r="AA566" s="2"/>
      <c r="AB566" s="2"/>
    </row>
    <row r="567" spans="1:28" ht="13">
      <c r="A567" s="2"/>
      <c r="B567" s="2"/>
      <c r="C567" s="2"/>
      <c r="D567" s="2"/>
      <c r="E567" s="2"/>
      <c r="F567" s="2"/>
      <c r="G567" s="43"/>
      <c r="H567" s="2"/>
      <c r="I567" s="2"/>
      <c r="J567" s="2"/>
      <c r="K567" s="2"/>
      <c r="L567" s="2"/>
      <c r="M567" s="2"/>
      <c r="N567" s="2"/>
      <c r="O567" s="2"/>
      <c r="P567" s="2"/>
      <c r="Q567" s="2"/>
      <c r="R567" s="2"/>
      <c r="S567" s="2"/>
      <c r="T567" s="2"/>
      <c r="U567" s="2"/>
      <c r="V567" s="2"/>
      <c r="W567" s="2"/>
      <c r="X567" s="2"/>
      <c r="Y567" s="2"/>
      <c r="Z567" s="2"/>
      <c r="AA567" s="2"/>
      <c r="AB567" s="2"/>
    </row>
    <row r="568" spans="1:28" ht="13">
      <c r="A568" s="2"/>
      <c r="B568" s="2"/>
      <c r="C568" s="2"/>
      <c r="D568" s="2"/>
      <c r="E568" s="2"/>
      <c r="F568" s="2"/>
      <c r="G568" s="43"/>
      <c r="H568" s="2"/>
      <c r="I568" s="2"/>
      <c r="J568" s="2"/>
      <c r="K568" s="2"/>
      <c r="L568" s="2"/>
      <c r="M568" s="2"/>
      <c r="N568" s="2"/>
      <c r="O568" s="2"/>
      <c r="P568" s="2"/>
      <c r="Q568" s="2"/>
      <c r="R568" s="2"/>
      <c r="S568" s="2"/>
      <c r="T568" s="2"/>
      <c r="U568" s="2"/>
      <c r="V568" s="2"/>
      <c r="W568" s="2"/>
      <c r="X568" s="2"/>
      <c r="Y568" s="2"/>
      <c r="Z568" s="2"/>
      <c r="AA568" s="2"/>
      <c r="AB568" s="2"/>
    </row>
    <row r="569" spans="1:28" ht="13">
      <c r="A569" s="2"/>
      <c r="B569" s="2"/>
      <c r="C569" s="2"/>
      <c r="D569" s="2"/>
      <c r="E569" s="2"/>
      <c r="F569" s="2"/>
      <c r="G569" s="43"/>
      <c r="H569" s="2"/>
      <c r="I569" s="2"/>
      <c r="J569" s="2"/>
      <c r="K569" s="2"/>
      <c r="L569" s="2"/>
      <c r="M569" s="2"/>
      <c r="N569" s="2"/>
      <c r="O569" s="2"/>
      <c r="P569" s="2"/>
      <c r="Q569" s="2"/>
      <c r="R569" s="2"/>
      <c r="S569" s="2"/>
      <c r="T569" s="2"/>
      <c r="U569" s="2"/>
      <c r="V569" s="2"/>
      <c r="W569" s="2"/>
      <c r="X569" s="2"/>
      <c r="Y569" s="2"/>
      <c r="Z569" s="2"/>
      <c r="AA569" s="2"/>
      <c r="AB569" s="2"/>
    </row>
    <row r="570" spans="1:28" ht="13">
      <c r="A570" s="2"/>
      <c r="B570" s="2"/>
      <c r="C570" s="2"/>
      <c r="D570" s="2"/>
      <c r="E570" s="2"/>
      <c r="F570" s="2"/>
      <c r="G570" s="43"/>
      <c r="H570" s="2"/>
      <c r="I570" s="2"/>
      <c r="J570" s="2"/>
      <c r="K570" s="2"/>
      <c r="L570" s="2"/>
      <c r="M570" s="2"/>
      <c r="N570" s="2"/>
      <c r="O570" s="2"/>
      <c r="P570" s="2"/>
      <c r="Q570" s="2"/>
      <c r="R570" s="2"/>
      <c r="S570" s="2"/>
      <c r="T570" s="2"/>
      <c r="U570" s="2"/>
      <c r="V570" s="2"/>
      <c r="W570" s="2"/>
      <c r="X570" s="2"/>
      <c r="Y570" s="2"/>
      <c r="Z570" s="2"/>
      <c r="AA570" s="2"/>
      <c r="AB570" s="2"/>
    </row>
    <row r="571" spans="1:28" ht="13">
      <c r="A571" s="2"/>
      <c r="B571" s="2"/>
      <c r="C571" s="2"/>
      <c r="D571" s="2"/>
      <c r="E571" s="2"/>
      <c r="F571" s="2"/>
      <c r="G571" s="43"/>
      <c r="H571" s="2"/>
      <c r="I571" s="2"/>
      <c r="J571" s="2"/>
      <c r="K571" s="2"/>
      <c r="L571" s="2"/>
      <c r="M571" s="2"/>
      <c r="N571" s="2"/>
      <c r="O571" s="2"/>
      <c r="P571" s="2"/>
      <c r="Q571" s="2"/>
      <c r="R571" s="2"/>
      <c r="S571" s="2"/>
      <c r="T571" s="2"/>
      <c r="U571" s="2"/>
      <c r="V571" s="2"/>
      <c r="W571" s="2"/>
      <c r="X571" s="2"/>
      <c r="Y571" s="2"/>
      <c r="Z571" s="2"/>
      <c r="AA571" s="2"/>
      <c r="AB571" s="2"/>
    </row>
    <row r="572" spans="1:28" ht="13">
      <c r="A572" s="2"/>
      <c r="B572" s="2"/>
      <c r="C572" s="2"/>
      <c r="D572" s="2"/>
      <c r="E572" s="2"/>
      <c r="F572" s="2"/>
      <c r="G572" s="43"/>
      <c r="H572" s="2"/>
      <c r="I572" s="2"/>
      <c r="J572" s="2"/>
      <c r="K572" s="2"/>
      <c r="L572" s="2"/>
      <c r="M572" s="2"/>
      <c r="N572" s="2"/>
      <c r="O572" s="2"/>
      <c r="P572" s="2"/>
      <c r="Q572" s="2"/>
      <c r="R572" s="2"/>
      <c r="S572" s="2"/>
      <c r="T572" s="2"/>
      <c r="U572" s="2"/>
      <c r="V572" s="2"/>
      <c r="W572" s="2"/>
      <c r="X572" s="2"/>
      <c r="Y572" s="2"/>
      <c r="Z572" s="2"/>
      <c r="AA572" s="2"/>
      <c r="AB572" s="2"/>
    </row>
    <row r="573" spans="1:28" ht="13">
      <c r="A573" s="2"/>
      <c r="B573" s="2"/>
      <c r="C573" s="2"/>
      <c r="D573" s="2"/>
      <c r="E573" s="2"/>
      <c r="F573" s="2"/>
      <c r="G573" s="43"/>
      <c r="H573" s="2"/>
      <c r="I573" s="2"/>
      <c r="J573" s="2"/>
      <c r="K573" s="2"/>
      <c r="L573" s="2"/>
      <c r="M573" s="2"/>
      <c r="N573" s="2"/>
      <c r="O573" s="2"/>
      <c r="P573" s="2"/>
      <c r="Q573" s="2"/>
      <c r="R573" s="2"/>
      <c r="S573" s="2"/>
      <c r="T573" s="2"/>
      <c r="U573" s="2"/>
      <c r="V573" s="2"/>
      <c r="W573" s="2"/>
      <c r="X573" s="2"/>
      <c r="Y573" s="2"/>
      <c r="Z573" s="2"/>
      <c r="AA573" s="2"/>
      <c r="AB573" s="2"/>
    </row>
    <row r="574" spans="1:28" ht="13">
      <c r="A574" s="2"/>
      <c r="B574" s="2"/>
      <c r="C574" s="2"/>
      <c r="D574" s="2"/>
      <c r="E574" s="2"/>
      <c r="F574" s="2"/>
      <c r="G574" s="43"/>
      <c r="H574" s="2"/>
      <c r="I574" s="2"/>
      <c r="J574" s="2"/>
      <c r="K574" s="2"/>
      <c r="L574" s="2"/>
      <c r="M574" s="2"/>
      <c r="N574" s="2"/>
      <c r="O574" s="2"/>
      <c r="P574" s="2"/>
      <c r="Q574" s="2"/>
      <c r="R574" s="2"/>
      <c r="S574" s="2"/>
      <c r="T574" s="2"/>
      <c r="U574" s="2"/>
      <c r="V574" s="2"/>
      <c r="W574" s="2"/>
      <c r="X574" s="2"/>
      <c r="Y574" s="2"/>
      <c r="Z574" s="2"/>
      <c r="AA574" s="2"/>
      <c r="AB574" s="2"/>
    </row>
    <row r="575" spans="1:28" ht="13">
      <c r="A575" s="2"/>
      <c r="B575" s="2"/>
      <c r="C575" s="2"/>
      <c r="D575" s="2"/>
      <c r="E575" s="2"/>
      <c r="F575" s="2"/>
      <c r="G575" s="43"/>
      <c r="H575" s="2"/>
      <c r="I575" s="2"/>
      <c r="J575" s="2"/>
      <c r="K575" s="2"/>
      <c r="L575" s="2"/>
      <c r="M575" s="2"/>
      <c r="N575" s="2"/>
      <c r="O575" s="2"/>
      <c r="P575" s="2"/>
      <c r="Q575" s="2"/>
      <c r="R575" s="2"/>
      <c r="S575" s="2"/>
      <c r="T575" s="2"/>
      <c r="U575" s="2"/>
      <c r="V575" s="2"/>
      <c r="W575" s="2"/>
      <c r="X575" s="2"/>
      <c r="Y575" s="2"/>
      <c r="Z575" s="2"/>
      <c r="AA575" s="2"/>
      <c r="AB575" s="2"/>
    </row>
    <row r="576" spans="1:28" ht="13">
      <c r="A576" s="2"/>
      <c r="B576" s="2"/>
      <c r="C576" s="2"/>
      <c r="D576" s="2"/>
      <c r="E576" s="2"/>
      <c r="F576" s="2"/>
      <c r="G576" s="43"/>
      <c r="H576" s="2"/>
      <c r="I576" s="2"/>
      <c r="J576" s="2"/>
      <c r="K576" s="2"/>
      <c r="L576" s="2"/>
      <c r="M576" s="2"/>
      <c r="N576" s="2"/>
      <c r="O576" s="2"/>
      <c r="P576" s="2"/>
      <c r="Q576" s="2"/>
      <c r="R576" s="2"/>
      <c r="S576" s="2"/>
      <c r="T576" s="2"/>
      <c r="U576" s="2"/>
      <c r="V576" s="2"/>
      <c r="W576" s="2"/>
      <c r="X576" s="2"/>
      <c r="Y576" s="2"/>
      <c r="Z576" s="2"/>
      <c r="AA576" s="2"/>
      <c r="AB576" s="2"/>
    </row>
    <row r="577" spans="1:28" ht="13">
      <c r="A577" s="2"/>
      <c r="B577" s="2"/>
      <c r="C577" s="2"/>
      <c r="D577" s="2"/>
      <c r="E577" s="2"/>
      <c r="F577" s="2"/>
      <c r="G577" s="43"/>
      <c r="H577" s="2"/>
      <c r="I577" s="2"/>
      <c r="J577" s="2"/>
      <c r="K577" s="2"/>
      <c r="L577" s="2"/>
      <c r="M577" s="2"/>
      <c r="N577" s="2"/>
      <c r="O577" s="2"/>
      <c r="P577" s="2"/>
      <c r="Q577" s="2"/>
      <c r="R577" s="2"/>
      <c r="S577" s="2"/>
      <c r="T577" s="2"/>
      <c r="U577" s="2"/>
      <c r="V577" s="2"/>
      <c r="W577" s="2"/>
      <c r="X577" s="2"/>
      <c r="Y577" s="2"/>
      <c r="Z577" s="2"/>
      <c r="AA577" s="2"/>
      <c r="AB577" s="2"/>
    </row>
    <row r="578" spans="1:28" ht="13">
      <c r="A578" s="2"/>
      <c r="B578" s="2"/>
      <c r="C578" s="2"/>
      <c r="D578" s="2"/>
      <c r="E578" s="2"/>
      <c r="F578" s="2"/>
      <c r="G578" s="43"/>
      <c r="H578" s="2"/>
      <c r="I578" s="2"/>
      <c r="J578" s="2"/>
      <c r="K578" s="2"/>
      <c r="L578" s="2"/>
      <c r="M578" s="2"/>
      <c r="N578" s="2"/>
      <c r="O578" s="2"/>
      <c r="P578" s="2"/>
      <c r="Q578" s="2"/>
      <c r="R578" s="2"/>
      <c r="S578" s="2"/>
      <c r="T578" s="2"/>
      <c r="U578" s="2"/>
      <c r="V578" s="2"/>
      <c r="W578" s="2"/>
      <c r="X578" s="2"/>
      <c r="Y578" s="2"/>
      <c r="Z578" s="2"/>
      <c r="AA578" s="2"/>
      <c r="AB578" s="2"/>
    </row>
    <row r="579" spans="1:28" ht="13">
      <c r="A579" s="2"/>
      <c r="B579" s="2"/>
      <c r="C579" s="2"/>
      <c r="D579" s="2"/>
      <c r="E579" s="2"/>
      <c r="F579" s="2"/>
      <c r="G579" s="43"/>
      <c r="H579" s="2"/>
      <c r="I579" s="2"/>
      <c r="J579" s="2"/>
      <c r="K579" s="2"/>
      <c r="L579" s="2"/>
      <c r="M579" s="2"/>
      <c r="N579" s="2"/>
      <c r="O579" s="2"/>
      <c r="P579" s="2"/>
      <c r="Q579" s="2"/>
      <c r="R579" s="2"/>
      <c r="S579" s="2"/>
      <c r="T579" s="2"/>
      <c r="U579" s="2"/>
      <c r="V579" s="2"/>
      <c r="W579" s="2"/>
      <c r="X579" s="2"/>
      <c r="Y579" s="2"/>
      <c r="Z579" s="2"/>
      <c r="AA579" s="2"/>
      <c r="AB579" s="2"/>
    </row>
    <row r="580" spans="1:28" ht="13">
      <c r="A580" s="2"/>
      <c r="B580" s="2"/>
      <c r="C580" s="2"/>
      <c r="D580" s="2"/>
      <c r="E580" s="2"/>
      <c r="F580" s="2"/>
      <c r="G580" s="43"/>
      <c r="H580" s="2"/>
      <c r="I580" s="2"/>
      <c r="J580" s="2"/>
      <c r="K580" s="2"/>
      <c r="L580" s="2"/>
      <c r="M580" s="2"/>
      <c r="N580" s="2"/>
      <c r="O580" s="2"/>
      <c r="P580" s="2"/>
      <c r="Q580" s="2"/>
      <c r="R580" s="2"/>
      <c r="S580" s="2"/>
      <c r="T580" s="2"/>
      <c r="U580" s="2"/>
      <c r="V580" s="2"/>
      <c r="W580" s="2"/>
      <c r="X580" s="2"/>
      <c r="Y580" s="2"/>
      <c r="Z580" s="2"/>
      <c r="AA580" s="2"/>
      <c r="AB580" s="2"/>
    </row>
    <row r="581" spans="1:28" ht="13">
      <c r="A581" s="2"/>
      <c r="B581" s="2"/>
      <c r="C581" s="2"/>
      <c r="D581" s="2"/>
      <c r="E581" s="2"/>
      <c r="F581" s="2"/>
      <c r="G581" s="43"/>
      <c r="H581" s="2"/>
      <c r="I581" s="2"/>
      <c r="J581" s="2"/>
      <c r="K581" s="2"/>
      <c r="L581" s="2"/>
      <c r="M581" s="2"/>
      <c r="N581" s="2"/>
      <c r="O581" s="2"/>
      <c r="P581" s="2"/>
      <c r="Q581" s="2"/>
      <c r="R581" s="2"/>
      <c r="S581" s="2"/>
      <c r="T581" s="2"/>
      <c r="U581" s="2"/>
      <c r="V581" s="2"/>
      <c r="W581" s="2"/>
      <c r="X581" s="2"/>
      <c r="Y581" s="2"/>
      <c r="Z581" s="2"/>
      <c r="AA581" s="2"/>
      <c r="AB581" s="2"/>
    </row>
    <row r="582" spans="1:28" ht="13">
      <c r="A582" s="2"/>
      <c r="B582" s="2"/>
      <c r="C582" s="2"/>
      <c r="D582" s="2"/>
      <c r="E582" s="2"/>
      <c r="F582" s="2"/>
      <c r="G582" s="43"/>
      <c r="H582" s="2"/>
      <c r="I582" s="2"/>
      <c r="J582" s="2"/>
      <c r="K582" s="2"/>
      <c r="L582" s="2"/>
      <c r="M582" s="2"/>
      <c r="N582" s="2"/>
      <c r="O582" s="2"/>
      <c r="P582" s="2"/>
      <c r="Q582" s="2"/>
      <c r="R582" s="2"/>
      <c r="S582" s="2"/>
      <c r="T582" s="2"/>
      <c r="U582" s="2"/>
      <c r="V582" s="2"/>
      <c r="W582" s="2"/>
      <c r="X582" s="2"/>
      <c r="Y582" s="2"/>
      <c r="Z582" s="2"/>
      <c r="AA582" s="2"/>
      <c r="AB582" s="2"/>
    </row>
    <row r="583" spans="1:28" ht="13">
      <c r="A583" s="2"/>
      <c r="B583" s="2"/>
      <c r="C583" s="2"/>
      <c r="D583" s="2"/>
      <c r="E583" s="2"/>
      <c r="F583" s="2"/>
      <c r="G583" s="43"/>
      <c r="H583" s="2"/>
      <c r="I583" s="2"/>
      <c r="J583" s="2"/>
      <c r="K583" s="2"/>
      <c r="L583" s="2"/>
      <c r="M583" s="2"/>
      <c r="N583" s="2"/>
      <c r="O583" s="2"/>
      <c r="P583" s="2"/>
      <c r="Q583" s="2"/>
      <c r="R583" s="2"/>
      <c r="S583" s="2"/>
      <c r="T583" s="2"/>
      <c r="U583" s="2"/>
      <c r="V583" s="2"/>
      <c r="W583" s="2"/>
      <c r="X583" s="2"/>
      <c r="Y583" s="2"/>
      <c r="Z583" s="2"/>
      <c r="AA583" s="2"/>
      <c r="AB583" s="2"/>
    </row>
    <row r="584" spans="1:28" ht="13">
      <c r="A584" s="2"/>
      <c r="B584" s="2"/>
      <c r="C584" s="2"/>
      <c r="D584" s="2"/>
      <c r="E584" s="2"/>
      <c r="F584" s="2"/>
      <c r="G584" s="43"/>
      <c r="H584" s="2"/>
      <c r="I584" s="2"/>
      <c r="J584" s="2"/>
      <c r="K584" s="2"/>
      <c r="L584" s="2"/>
      <c r="M584" s="2"/>
      <c r="N584" s="2"/>
      <c r="O584" s="2"/>
      <c r="P584" s="2"/>
      <c r="Q584" s="2"/>
      <c r="R584" s="2"/>
      <c r="S584" s="2"/>
      <c r="T584" s="2"/>
      <c r="U584" s="2"/>
      <c r="V584" s="2"/>
      <c r="W584" s="2"/>
      <c r="X584" s="2"/>
      <c r="Y584" s="2"/>
      <c r="Z584" s="2"/>
      <c r="AA584" s="2"/>
      <c r="AB584" s="2"/>
    </row>
    <row r="585" spans="1:28" ht="13">
      <c r="A585" s="2"/>
      <c r="B585" s="2"/>
      <c r="C585" s="2"/>
      <c r="D585" s="2"/>
      <c r="E585" s="2"/>
      <c r="F585" s="2"/>
      <c r="G585" s="43"/>
      <c r="H585" s="2"/>
      <c r="I585" s="2"/>
      <c r="J585" s="2"/>
      <c r="K585" s="2"/>
      <c r="L585" s="2"/>
      <c r="M585" s="2"/>
      <c r="N585" s="2"/>
      <c r="O585" s="2"/>
      <c r="P585" s="2"/>
      <c r="Q585" s="2"/>
      <c r="R585" s="2"/>
      <c r="S585" s="2"/>
      <c r="T585" s="2"/>
      <c r="U585" s="2"/>
      <c r="V585" s="2"/>
      <c r="W585" s="2"/>
      <c r="X585" s="2"/>
      <c r="Y585" s="2"/>
      <c r="Z585" s="2"/>
      <c r="AA585" s="2"/>
      <c r="AB585" s="2"/>
    </row>
    <row r="586" spans="1:28" ht="13">
      <c r="A586" s="2"/>
      <c r="B586" s="2"/>
      <c r="C586" s="2"/>
      <c r="D586" s="2"/>
      <c r="E586" s="2"/>
      <c r="F586" s="2"/>
      <c r="G586" s="43"/>
      <c r="H586" s="2"/>
      <c r="I586" s="2"/>
      <c r="J586" s="2"/>
      <c r="K586" s="2"/>
      <c r="L586" s="2"/>
      <c r="M586" s="2"/>
      <c r="N586" s="2"/>
      <c r="O586" s="2"/>
      <c r="P586" s="2"/>
      <c r="Q586" s="2"/>
      <c r="R586" s="2"/>
      <c r="S586" s="2"/>
      <c r="T586" s="2"/>
      <c r="U586" s="2"/>
      <c r="V586" s="2"/>
      <c r="W586" s="2"/>
      <c r="X586" s="2"/>
      <c r="Y586" s="2"/>
      <c r="Z586" s="2"/>
      <c r="AA586" s="2"/>
      <c r="AB586" s="2"/>
    </row>
    <row r="587" spans="1:28" ht="13">
      <c r="A587" s="2"/>
      <c r="B587" s="2"/>
      <c r="C587" s="2"/>
      <c r="D587" s="2"/>
      <c r="E587" s="2"/>
      <c r="F587" s="2"/>
      <c r="G587" s="43"/>
      <c r="H587" s="2"/>
      <c r="I587" s="2"/>
      <c r="J587" s="2"/>
      <c r="K587" s="2"/>
      <c r="L587" s="2"/>
      <c r="M587" s="2"/>
      <c r="N587" s="2"/>
      <c r="O587" s="2"/>
      <c r="P587" s="2"/>
      <c r="Q587" s="2"/>
      <c r="R587" s="2"/>
      <c r="S587" s="2"/>
      <c r="T587" s="2"/>
      <c r="U587" s="2"/>
      <c r="V587" s="2"/>
      <c r="W587" s="2"/>
      <c r="X587" s="2"/>
      <c r="Y587" s="2"/>
      <c r="Z587" s="2"/>
      <c r="AA587" s="2"/>
      <c r="AB587" s="2"/>
    </row>
    <row r="588" spans="1:28" ht="13">
      <c r="A588" s="2"/>
      <c r="B588" s="2"/>
      <c r="C588" s="2"/>
      <c r="D588" s="2"/>
      <c r="E588" s="2"/>
      <c r="F588" s="2"/>
      <c r="G588" s="43"/>
      <c r="H588" s="2"/>
      <c r="I588" s="2"/>
      <c r="J588" s="2"/>
      <c r="K588" s="2"/>
      <c r="L588" s="2"/>
      <c r="M588" s="2"/>
      <c r="N588" s="2"/>
      <c r="O588" s="2"/>
      <c r="P588" s="2"/>
      <c r="Q588" s="2"/>
      <c r="R588" s="2"/>
      <c r="S588" s="2"/>
      <c r="T588" s="2"/>
      <c r="U588" s="2"/>
      <c r="V588" s="2"/>
      <c r="W588" s="2"/>
      <c r="X588" s="2"/>
      <c r="Y588" s="2"/>
      <c r="Z588" s="2"/>
      <c r="AA588" s="2"/>
      <c r="AB588" s="2"/>
    </row>
    <row r="589" spans="1:28" ht="13">
      <c r="A589" s="2"/>
      <c r="B589" s="2"/>
      <c r="C589" s="2"/>
      <c r="D589" s="2"/>
      <c r="E589" s="2"/>
      <c r="F589" s="2"/>
      <c r="G589" s="43"/>
      <c r="H589" s="2"/>
      <c r="I589" s="2"/>
      <c r="J589" s="2"/>
      <c r="K589" s="2"/>
      <c r="L589" s="2"/>
      <c r="M589" s="2"/>
      <c r="N589" s="2"/>
      <c r="O589" s="2"/>
      <c r="P589" s="2"/>
      <c r="Q589" s="2"/>
      <c r="R589" s="2"/>
      <c r="S589" s="2"/>
      <c r="T589" s="2"/>
      <c r="U589" s="2"/>
      <c r="V589" s="2"/>
      <c r="W589" s="2"/>
      <c r="X589" s="2"/>
      <c r="Y589" s="2"/>
      <c r="Z589" s="2"/>
      <c r="AA589" s="2"/>
      <c r="AB589" s="2"/>
    </row>
    <row r="590" spans="1:28" ht="13">
      <c r="A590" s="2"/>
      <c r="B590" s="2"/>
      <c r="C590" s="2"/>
      <c r="D590" s="2"/>
      <c r="E590" s="2"/>
      <c r="F590" s="2"/>
      <c r="G590" s="43"/>
      <c r="H590" s="2"/>
      <c r="I590" s="2"/>
      <c r="J590" s="2"/>
      <c r="K590" s="2"/>
      <c r="L590" s="2"/>
      <c r="M590" s="2"/>
      <c r="N590" s="2"/>
      <c r="O590" s="2"/>
      <c r="P590" s="2"/>
      <c r="Q590" s="2"/>
      <c r="R590" s="2"/>
      <c r="S590" s="2"/>
      <c r="T590" s="2"/>
      <c r="U590" s="2"/>
      <c r="V590" s="2"/>
      <c r="W590" s="2"/>
      <c r="X590" s="2"/>
      <c r="Y590" s="2"/>
      <c r="Z590" s="2"/>
      <c r="AA590" s="2"/>
      <c r="AB590" s="2"/>
    </row>
    <row r="591" spans="1:28" ht="13">
      <c r="A591" s="2"/>
      <c r="B591" s="2"/>
      <c r="C591" s="2"/>
      <c r="D591" s="2"/>
      <c r="E591" s="2"/>
      <c r="F591" s="2"/>
      <c r="G591" s="43"/>
      <c r="H591" s="2"/>
      <c r="I591" s="2"/>
      <c r="J591" s="2"/>
      <c r="K591" s="2"/>
      <c r="L591" s="2"/>
      <c r="M591" s="2"/>
      <c r="N591" s="2"/>
      <c r="O591" s="2"/>
      <c r="P591" s="2"/>
      <c r="Q591" s="2"/>
      <c r="R591" s="2"/>
      <c r="S591" s="2"/>
      <c r="T591" s="2"/>
      <c r="U591" s="2"/>
      <c r="V591" s="2"/>
      <c r="W591" s="2"/>
      <c r="X591" s="2"/>
      <c r="Y591" s="2"/>
      <c r="Z591" s="2"/>
      <c r="AA591" s="2"/>
      <c r="AB591" s="2"/>
    </row>
    <row r="592" spans="1:28" ht="13">
      <c r="A592" s="2"/>
      <c r="B592" s="2"/>
      <c r="C592" s="2"/>
      <c r="D592" s="2"/>
      <c r="E592" s="2"/>
      <c r="F592" s="2"/>
      <c r="G592" s="43"/>
      <c r="H592" s="2"/>
      <c r="I592" s="2"/>
      <c r="J592" s="2"/>
      <c r="K592" s="2"/>
      <c r="L592" s="2"/>
      <c r="M592" s="2"/>
      <c r="N592" s="2"/>
      <c r="O592" s="2"/>
      <c r="P592" s="2"/>
      <c r="Q592" s="2"/>
      <c r="R592" s="2"/>
      <c r="S592" s="2"/>
      <c r="T592" s="2"/>
      <c r="U592" s="2"/>
      <c r="V592" s="2"/>
      <c r="W592" s="2"/>
      <c r="X592" s="2"/>
      <c r="Y592" s="2"/>
      <c r="Z592" s="2"/>
      <c r="AA592" s="2"/>
      <c r="AB592" s="2"/>
    </row>
    <row r="593" spans="1:28" ht="13">
      <c r="A593" s="2"/>
      <c r="B593" s="2"/>
      <c r="C593" s="2"/>
      <c r="D593" s="2"/>
      <c r="E593" s="2"/>
      <c r="F593" s="2"/>
      <c r="G593" s="43"/>
      <c r="H593" s="2"/>
      <c r="I593" s="2"/>
      <c r="J593" s="2"/>
      <c r="K593" s="2"/>
      <c r="L593" s="2"/>
      <c r="M593" s="2"/>
      <c r="N593" s="2"/>
      <c r="O593" s="2"/>
      <c r="P593" s="2"/>
      <c r="Q593" s="2"/>
      <c r="R593" s="2"/>
      <c r="S593" s="2"/>
      <c r="T593" s="2"/>
      <c r="U593" s="2"/>
      <c r="V593" s="2"/>
      <c r="W593" s="2"/>
      <c r="X593" s="2"/>
      <c r="Y593" s="2"/>
      <c r="Z593" s="2"/>
      <c r="AA593" s="2"/>
      <c r="AB593" s="2"/>
    </row>
    <row r="594" spans="1:28" ht="13">
      <c r="A594" s="2"/>
      <c r="B594" s="2"/>
      <c r="C594" s="2"/>
      <c r="D594" s="2"/>
      <c r="E594" s="2"/>
      <c r="F594" s="2"/>
      <c r="G594" s="43"/>
      <c r="H594" s="2"/>
      <c r="I594" s="2"/>
      <c r="J594" s="2"/>
      <c r="K594" s="2"/>
      <c r="L594" s="2"/>
      <c r="M594" s="2"/>
      <c r="N594" s="2"/>
      <c r="O594" s="2"/>
      <c r="P594" s="2"/>
      <c r="Q594" s="2"/>
      <c r="R594" s="2"/>
      <c r="S594" s="2"/>
      <c r="T594" s="2"/>
      <c r="U594" s="2"/>
      <c r="V594" s="2"/>
      <c r="W594" s="2"/>
      <c r="X594" s="2"/>
      <c r="Y594" s="2"/>
      <c r="Z594" s="2"/>
      <c r="AA594" s="2"/>
      <c r="AB594" s="2"/>
    </row>
    <row r="595" spans="1:28" ht="13">
      <c r="A595" s="2"/>
      <c r="B595" s="2"/>
      <c r="C595" s="2"/>
      <c r="D595" s="2"/>
      <c r="E595" s="2"/>
      <c r="F595" s="2"/>
      <c r="G595" s="43"/>
      <c r="H595" s="2"/>
      <c r="I595" s="2"/>
      <c r="J595" s="2"/>
      <c r="K595" s="2"/>
      <c r="L595" s="2"/>
      <c r="M595" s="2"/>
      <c r="N595" s="2"/>
      <c r="O595" s="2"/>
      <c r="P595" s="2"/>
      <c r="Q595" s="2"/>
      <c r="R595" s="2"/>
      <c r="S595" s="2"/>
      <c r="T595" s="2"/>
      <c r="U595" s="2"/>
      <c r="V595" s="2"/>
      <c r="W595" s="2"/>
      <c r="X595" s="2"/>
      <c r="Y595" s="2"/>
      <c r="Z595" s="2"/>
      <c r="AA595" s="2"/>
      <c r="AB595" s="2"/>
    </row>
    <row r="596" spans="1:28" ht="13">
      <c r="A596" s="2"/>
      <c r="B596" s="2"/>
      <c r="C596" s="2"/>
      <c r="D596" s="2"/>
      <c r="E596" s="2"/>
      <c r="F596" s="2"/>
      <c r="G596" s="43"/>
      <c r="H596" s="2"/>
      <c r="I596" s="2"/>
      <c r="J596" s="2"/>
      <c r="K596" s="2"/>
      <c r="L596" s="2"/>
      <c r="M596" s="2"/>
      <c r="N596" s="2"/>
      <c r="O596" s="2"/>
      <c r="P596" s="2"/>
      <c r="Q596" s="2"/>
      <c r="R596" s="2"/>
      <c r="S596" s="2"/>
      <c r="T596" s="2"/>
      <c r="U596" s="2"/>
      <c r="V596" s="2"/>
      <c r="W596" s="2"/>
      <c r="X596" s="2"/>
      <c r="Y596" s="2"/>
      <c r="Z596" s="2"/>
      <c r="AA596" s="2"/>
      <c r="AB596" s="2"/>
    </row>
    <row r="597" spans="1:28" ht="13">
      <c r="A597" s="2"/>
      <c r="B597" s="2"/>
      <c r="C597" s="2"/>
      <c r="D597" s="2"/>
      <c r="E597" s="2"/>
      <c r="F597" s="2"/>
      <c r="G597" s="43"/>
      <c r="H597" s="2"/>
      <c r="I597" s="2"/>
      <c r="J597" s="2"/>
      <c r="K597" s="2"/>
      <c r="L597" s="2"/>
      <c r="M597" s="2"/>
      <c r="N597" s="2"/>
      <c r="O597" s="2"/>
      <c r="P597" s="2"/>
      <c r="Q597" s="2"/>
      <c r="R597" s="2"/>
      <c r="S597" s="2"/>
      <c r="T597" s="2"/>
      <c r="U597" s="2"/>
      <c r="V597" s="2"/>
      <c r="W597" s="2"/>
      <c r="X597" s="2"/>
      <c r="Y597" s="2"/>
      <c r="Z597" s="2"/>
      <c r="AA597" s="2"/>
      <c r="AB597" s="2"/>
    </row>
    <row r="598" spans="1:28" ht="13">
      <c r="A598" s="2"/>
      <c r="B598" s="2"/>
      <c r="C598" s="2"/>
      <c r="D598" s="2"/>
      <c r="E598" s="2"/>
      <c r="F598" s="2"/>
      <c r="G598" s="43"/>
      <c r="H598" s="2"/>
      <c r="I598" s="2"/>
      <c r="J598" s="2"/>
      <c r="K598" s="2"/>
      <c r="L598" s="2"/>
      <c r="M598" s="2"/>
      <c r="N598" s="2"/>
      <c r="O598" s="2"/>
      <c r="P598" s="2"/>
      <c r="Q598" s="2"/>
      <c r="R598" s="2"/>
      <c r="S598" s="2"/>
      <c r="T598" s="2"/>
      <c r="U598" s="2"/>
      <c r="V598" s="2"/>
      <c r="W598" s="2"/>
      <c r="X598" s="2"/>
      <c r="Y598" s="2"/>
      <c r="Z598" s="2"/>
      <c r="AA598" s="2"/>
      <c r="AB598" s="2"/>
    </row>
    <row r="599" spans="1:28" ht="13">
      <c r="A599" s="2"/>
      <c r="B599" s="2"/>
      <c r="C599" s="2"/>
      <c r="D599" s="2"/>
      <c r="E599" s="2"/>
      <c r="F599" s="2"/>
      <c r="G599" s="43"/>
      <c r="H599" s="2"/>
      <c r="I599" s="2"/>
      <c r="J599" s="2"/>
      <c r="K599" s="2"/>
      <c r="L599" s="2"/>
      <c r="M599" s="2"/>
      <c r="N599" s="2"/>
      <c r="O599" s="2"/>
      <c r="P599" s="2"/>
      <c r="Q599" s="2"/>
      <c r="R599" s="2"/>
      <c r="S599" s="2"/>
      <c r="T599" s="2"/>
      <c r="U599" s="2"/>
      <c r="V599" s="2"/>
      <c r="W599" s="2"/>
      <c r="X599" s="2"/>
      <c r="Y599" s="2"/>
      <c r="Z599" s="2"/>
      <c r="AA599" s="2"/>
      <c r="AB599" s="2"/>
    </row>
    <row r="600" spans="1:28" ht="13">
      <c r="A600" s="2"/>
      <c r="B600" s="2"/>
      <c r="C600" s="2"/>
      <c r="D600" s="2"/>
      <c r="E600" s="2"/>
      <c r="F600" s="2"/>
      <c r="G600" s="43"/>
      <c r="H600" s="2"/>
      <c r="I600" s="2"/>
      <c r="J600" s="2"/>
      <c r="K600" s="2"/>
      <c r="L600" s="2"/>
      <c r="M600" s="2"/>
      <c r="N600" s="2"/>
      <c r="O600" s="2"/>
      <c r="P600" s="2"/>
      <c r="Q600" s="2"/>
      <c r="R600" s="2"/>
      <c r="S600" s="2"/>
      <c r="T600" s="2"/>
      <c r="U600" s="2"/>
      <c r="V600" s="2"/>
      <c r="W600" s="2"/>
      <c r="X600" s="2"/>
      <c r="Y600" s="2"/>
      <c r="Z600" s="2"/>
      <c r="AA600" s="2"/>
      <c r="AB600" s="2"/>
    </row>
    <row r="601" spans="1:28" ht="13">
      <c r="A601" s="2"/>
      <c r="B601" s="2"/>
      <c r="C601" s="2"/>
      <c r="D601" s="2"/>
      <c r="E601" s="2"/>
      <c r="F601" s="2"/>
      <c r="G601" s="43"/>
      <c r="H601" s="2"/>
      <c r="I601" s="2"/>
      <c r="J601" s="2"/>
      <c r="K601" s="2"/>
      <c r="L601" s="2"/>
      <c r="M601" s="2"/>
      <c r="N601" s="2"/>
      <c r="O601" s="2"/>
      <c r="P601" s="2"/>
      <c r="Q601" s="2"/>
      <c r="R601" s="2"/>
      <c r="S601" s="2"/>
      <c r="T601" s="2"/>
      <c r="U601" s="2"/>
      <c r="V601" s="2"/>
      <c r="W601" s="2"/>
      <c r="X601" s="2"/>
      <c r="Y601" s="2"/>
      <c r="Z601" s="2"/>
      <c r="AA601" s="2"/>
      <c r="AB601" s="2"/>
    </row>
    <row r="602" spans="1:28" ht="13">
      <c r="A602" s="2"/>
      <c r="B602" s="2"/>
      <c r="C602" s="2"/>
      <c r="D602" s="2"/>
      <c r="E602" s="2"/>
      <c r="F602" s="2"/>
      <c r="G602" s="43"/>
      <c r="H602" s="2"/>
      <c r="I602" s="2"/>
      <c r="J602" s="2"/>
      <c r="K602" s="2"/>
      <c r="L602" s="2"/>
      <c r="M602" s="2"/>
      <c r="N602" s="2"/>
      <c r="O602" s="2"/>
      <c r="P602" s="2"/>
      <c r="Q602" s="2"/>
      <c r="R602" s="2"/>
      <c r="S602" s="2"/>
      <c r="T602" s="2"/>
      <c r="U602" s="2"/>
      <c r="V602" s="2"/>
      <c r="W602" s="2"/>
      <c r="X602" s="2"/>
      <c r="Y602" s="2"/>
      <c r="Z602" s="2"/>
      <c r="AA602" s="2"/>
      <c r="AB602" s="2"/>
    </row>
    <row r="603" spans="1:28" ht="13">
      <c r="A603" s="2"/>
      <c r="B603" s="2"/>
      <c r="C603" s="2"/>
      <c r="D603" s="2"/>
      <c r="E603" s="2"/>
      <c r="F603" s="2"/>
      <c r="G603" s="43"/>
      <c r="H603" s="2"/>
      <c r="I603" s="2"/>
      <c r="J603" s="2"/>
      <c r="K603" s="2"/>
      <c r="L603" s="2"/>
      <c r="M603" s="2"/>
      <c r="N603" s="2"/>
      <c r="O603" s="2"/>
      <c r="P603" s="2"/>
      <c r="Q603" s="2"/>
      <c r="R603" s="2"/>
      <c r="S603" s="2"/>
      <c r="T603" s="2"/>
      <c r="U603" s="2"/>
      <c r="V603" s="2"/>
      <c r="W603" s="2"/>
      <c r="X603" s="2"/>
      <c r="Y603" s="2"/>
      <c r="Z603" s="2"/>
      <c r="AA603" s="2"/>
      <c r="AB603" s="2"/>
    </row>
    <row r="604" spans="1:28" ht="13">
      <c r="A604" s="2"/>
      <c r="B604" s="2"/>
      <c r="C604" s="2"/>
      <c r="D604" s="2"/>
      <c r="E604" s="2"/>
      <c r="F604" s="2"/>
      <c r="G604" s="43"/>
      <c r="H604" s="2"/>
      <c r="I604" s="2"/>
      <c r="J604" s="2"/>
      <c r="K604" s="2"/>
      <c r="L604" s="2"/>
      <c r="M604" s="2"/>
      <c r="N604" s="2"/>
      <c r="O604" s="2"/>
      <c r="P604" s="2"/>
      <c r="Q604" s="2"/>
      <c r="R604" s="2"/>
      <c r="S604" s="2"/>
      <c r="T604" s="2"/>
      <c r="U604" s="2"/>
      <c r="V604" s="2"/>
      <c r="W604" s="2"/>
      <c r="X604" s="2"/>
      <c r="Y604" s="2"/>
      <c r="Z604" s="2"/>
      <c r="AA604" s="2"/>
      <c r="AB604" s="2"/>
    </row>
    <row r="605" spans="1:28" ht="13">
      <c r="A605" s="2"/>
      <c r="B605" s="2"/>
      <c r="C605" s="2"/>
      <c r="D605" s="2"/>
      <c r="E605" s="2"/>
      <c r="F605" s="2"/>
      <c r="G605" s="43"/>
      <c r="H605" s="2"/>
      <c r="I605" s="2"/>
      <c r="J605" s="2"/>
      <c r="K605" s="2"/>
      <c r="L605" s="2"/>
      <c r="M605" s="2"/>
      <c r="N605" s="2"/>
      <c r="O605" s="2"/>
      <c r="P605" s="2"/>
      <c r="Q605" s="2"/>
      <c r="R605" s="2"/>
      <c r="S605" s="2"/>
      <c r="T605" s="2"/>
      <c r="U605" s="2"/>
      <c r="V605" s="2"/>
      <c r="W605" s="2"/>
      <c r="X605" s="2"/>
      <c r="Y605" s="2"/>
      <c r="Z605" s="2"/>
      <c r="AA605" s="2"/>
      <c r="AB605" s="2"/>
    </row>
    <row r="606" spans="1:28" ht="13">
      <c r="A606" s="2"/>
      <c r="B606" s="2"/>
      <c r="C606" s="2"/>
      <c r="D606" s="2"/>
      <c r="E606" s="2"/>
      <c r="F606" s="2"/>
      <c r="G606" s="43"/>
      <c r="H606" s="2"/>
      <c r="I606" s="2"/>
      <c r="J606" s="2"/>
      <c r="K606" s="2"/>
      <c r="L606" s="2"/>
      <c r="M606" s="2"/>
      <c r="N606" s="2"/>
      <c r="O606" s="2"/>
      <c r="P606" s="2"/>
      <c r="Q606" s="2"/>
      <c r="R606" s="2"/>
      <c r="S606" s="2"/>
      <c r="T606" s="2"/>
      <c r="U606" s="2"/>
      <c r="V606" s="2"/>
      <c r="W606" s="2"/>
      <c r="X606" s="2"/>
      <c r="Y606" s="2"/>
      <c r="Z606" s="2"/>
      <c r="AA606" s="2"/>
      <c r="AB606" s="2"/>
    </row>
    <row r="607" spans="1:28" ht="13">
      <c r="A607" s="2"/>
      <c r="B607" s="2"/>
      <c r="C607" s="2"/>
      <c r="D607" s="2"/>
      <c r="E607" s="2"/>
      <c r="F607" s="2"/>
      <c r="G607" s="43"/>
      <c r="H607" s="2"/>
      <c r="I607" s="2"/>
      <c r="J607" s="2"/>
      <c r="K607" s="2"/>
      <c r="L607" s="2"/>
      <c r="M607" s="2"/>
      <c r="N607" s="2"/>
      <c r="O607" s="2"/>
      <c r="P607" s="2"/>
      <c r="Q607" s="2"/>
      <c r="R607" s="2"/>
      <c r="S607" s="2"/>
      <c r="T607" s="2"/>
      <c r="U607" s="2"/>
      <c r="V607" s="2"/>
      <c r="W607" s="2"/>
      <c r="X607" s="2"/>
      <c r="Y607" s="2"/>
      <c r="Z607" s="2"/>
      <c r="AA607" s="2"/>
      <c r="AB607" s="2"/>
    </row>
    <row r="608" spans="1:28" ht="13">
      <c r="A608" s="2"/>
      <c r="B608" s="2"/>
      <c r="C608" s="2"/>
      <c r="D608" s="2"/>
      <c r="E608" s="2"/>
      <c r="F608" s="2"/>
      <c r="G608" s="43"/>
      <c r="H608" s="2"/>
      <c r="I608" s="2"/>
      <c r="J608" s="2"/>
      <c r="K608" s="2"/>
      <c r="L608" s="2"/>
      <c r="M608" s="2"/>
      <c r="N608" s="2"/>
      <c r="O608" s="2"/>
      <c r="P608" s="2"/>
      <c r="Q608" s="2"/>
      <c r="R608" s="2"/>
      <c r="S608" s="2"/>
      <c r="T608" s="2"/>
      <c r="U608" s="2"/>
      <c r="V608" s="2"/>
      <c r="W608" s="2"/>
      <c r="X608" s="2"/>
      <c r="Y608" s="2"/>
      <c r="Z608" s="2"/>
      <c r="AA608" s="2"/>
      <c r="AB608" s="2"/>
    </row>
    <row r="609" spans="1:28" ht="13">
      <c r="A609" s="2"/>
      <c r="B609" s="2"/>
      <c r="C609" s="2"/>
      <c r="D609" s="2"/>
      <c r="E609" s="2"/>
      <c r="F609" s="2"/>
      <c r="G609" s="43"/>
      <c r="H609" s="2"/>
      <c r="I609" s="2"/>
      <c r="J609" s="2"/>
      <c r="K609" s="2"/>
      <c r="L609" s="2"/>
      <c r="M609" s="2"/>
      <c r="N609" s="2"/>
      <c r="O609" s="2"/>
      <c r="P609" s="2"/>
      <c r="Q609" s="2"/>
      <c r="R609" s="2"/>
      <c r="S609" s="2"/>
      <c r="T609" s="2"/>
      <c r="U609" s="2"/>
      <c r="V609" s="2"/>
      <c r="W609" s="2"/>
      <c r="X609" s="2"/>
      <c r="Y609" s="2"/>
      <c r="Z609" s="2"/>
      <c r="AA609" s="2"/>
      <c r="AB609" s="2"/>
    </row>
    <row r="610" spans="1:28" ht="13">
      <c r="A610" s="2"/>
      <c r="B610" s="2"/>
      <c r="C610" s="2"/>
      <c r="D610" s="2"/>
      <c r="E610" s="2"/>
      <c r="F610" s="2"/>
      <c r="G610" s="43"/>
      <c r="H610" s="2"/>
      <c r="I610" s="2"/>
      <c r="J610" s="2"/>
      <c r="K610" s="2"/>
      <c r="L610" s="2"/>
      <c r="M610" s="2"/>
      <c r="N610" s="2"/>
      <c r="O610" s="2"/>
      <c r="P610" s="2"/>
      <c r="Q610" s="2"/>
      <c r="R610" s="2"/>
      <c r="S610" s="2"/>
      <c r="T610" s="2"/>
      <c r="U610" s="2"/>
      <c r="V610" s="2"/>
      <c r="W610" s="2"/>
      <c r="X610" s="2"/>
      <c r="Y610" s="2"/>
      <c r="Z610" s="2"/>
      <c r="AA610" s="2"/>
      <c r="AB610" s="2"/>
    </row>
    <row r="611" spans="1:28" ht="13">
      <c r="A611" s="2"/>
      <c r="B611" s="2"/>
      <c r="C611" s="2"/>
      <c r="D611" s="2"/>
      <c r="E611" s="2"/>
      <c r="F611" s="2"/>
      <c r="G611" s="43"/>
      <c r="H611" s="2"/>
      <c r="I611" s="2"/>
      <c r="J611" s="2"/>
      <c r="K611" s="2"/>
      <c r="L611" s="2"/>
      <c r="M611" s="2"/>
      <c r="N611" s="2"/>
      <c r="O611" s="2"/>
      <c r="P611" s="2"/>
      <c r="Q611" s="2"/>
      <c r="R611" s="2"/>
      <c r="S611" s="2"/>
      <c r="T611" s="2"/>
      <c r="U611" s="2"/>
      <c r="V611" s="2"/>
      <c r="W611" s="2"/>
      <c r="X611" s="2"/>
      <c r="Y611" s="2"/>
      <c r="Z611" s="2"/>
      <c r="AA611" s="2"/>
      <c r="AB611" s="2"/>
    </row>
    <row r="612" spans="1:28" ht="13">
      <c r="A612" s="2"/>
      <c r="B612" s="2"/>
      <c r="C612" s="2"/>
      <c r="D612" s="2"/>
      <c r="E612" s="2"/>
      <c r="F612" s="2"/>
      <c r="G612" s="43"/>
      <c r="H612" s="2"/>
      <c r="I612" s="2"/>
      <c r="J612" s="2"/>
      <c r="K612" s="2"/>
      <c r="L612" s="2"/>
      <c r="M612" s="2"/>
      <c r="N612" s="2"/>
      <c r="O612" s="2"/>
      <c r="P612" s="2"/>
      <c r="Q612" s="2"/>
      <c r="R612" s="2"/>
      <c r="S612" s="2"/>
      <c r="T612" s="2"/>
      <c r="U612" s="2"/>
      <c r="V612" s="2"/>
      <c r="W612" s="2"/>
      <c r="X612" s="2"/>
      <c r="Y612" s="2"/>
      <c r="Z612" s="2"/>
      <c r="AA612" s="2"/>
      <c r="AB612" s="2"/>
    </row>
    <row r="613" spans="1:28" ht="13">
      <c r="A613" s="2"/>
      <c r="B613" s="2"/>
      <c r="C613" s="2"/>
      <c r="D613" s="2"/>
      <c r="E613" s="2"/>
      <c r="F613" s="2"/>
      <c r="G613" s="43"/>
      <c r="H613" s="2"/>
      <c r="I613" s="2"/>
      <c r="J613" s="2"/>
      <c r="K613" s="2"/>
      <c r="L613" s="2"/>
      <c r="M613" s="2"/>
      <c r="N613" s="2"/>
      <c r="O613" s="2"/>
      <c r="P613" s="2"/>
      <c r="Q613" s="2"/>
      <c r="R613" s="2"/>
      <c r="S613" s="2"/>
      <c r="T613" s="2"/>
      <c r="U613" s="2"/>
      <c r="V613" s="2"/>
      <c r="W613" s="2"/>
      <c r="X613" s="2"/>
      <c r="Y613" s="2"/>
      <c r="Z613" s="2"/>
      <c r="AA613" s="2"/>
      <c r="AB613" s="2"/>
    </row>
    <row r="614" spans="1:28" ht="13">
      <c r="A614" s="2"/>
      <c r="B614" s="2"/>
      <c r="C614" s="2"/>
      <c r="D614" s="2"/>
      <c r="E614" s="2"/>
      <c r="F614" s="2"/>
      <c r="G614" s="43"/>
      <c r="H614" s="2"/>
      <c r="I614" s="2"/>
      <c r="J614" s="2"/>
      <c r="K614" s="2"/>
      <c r="L614" s="2"/>
      <c r="M614" s="2"/>
      <c r="N614" s="2"/>
      <c r="O614" s="2"/>
      <c r="P614" s="2"/>
      <c r="Q614" s="2"/>
      <c r="R614" s="2"/>
      <c r="S614" s="2"/>
      <c r="T614" s="2"/>
      <c r="U614" s="2"/>
      <c r="V614" s="2"/>
      <c r="W614" s="2"/>
      <c r="X614" s="2"/>
      <c r="Y614" s="2"/>
      <c r="Z614" s="2"/>
      <c r="AA614" s="2"/>
      <c r="AB614" s="2"/>
    </row>
    <row r="615" spans="1:28" ht="13">
      <c r="A615" s="2"/>
      <c r="B615" s="2"/>
      <c r="C615" s="2"/>
      <c r="D615" s="2"/>
      <c r="E615" s="2"/>
      <c r="F615" s="2"/>
      <c r="G615" s="43"/>
      <c r="H615" s="2"/>
      <c r="I615" s="2"/>
      <c r="J615" s="2"/>
      <c r="K615" s="2"/>
      <c r="L615" s="2"/>
      <c r="M615" s="2"/>
      <c r="N615" s="2"/>
      <c r="O615" s="2"/>
      <c r="P615" s="2"/>
      <c r="Q615" s="2"/>
      <c r="R615" s="2"/>
      <c r="S615" s="2"/>
      <c r="T615" s="2"/>
      <c r="U615" s="2"/>
      <c r="V615" s="2"/>
      <c r="W615" s="2"/>
      <c r="X615" s="2"/>
      <c r="Y615" s="2"/>
      <c r="Z615" s="2"/>
      <c r="AA615" s="2"/>
      <c r="AB615" s="2"/>
    </row>
    <row r="616" spans="1:28" ht="13">
      <c r="A616" s="2"/>
      <c r="B616" s="2"/>
      <c r="C616" s="2"/>
      <c r="D616" s="2"/>
      <c r="E616" s="2"/>
      <c r="F616" s="2"/>
      <c r="G616" s="43"/>
      <c r="H616" s="2"/>
      <c r="I616" s="2"/>
      <c r="J616" s="2"/>
      <c r="K616" s="2"/>
      <c r="L616" s="2"/>
      <c r="M616" s="2"/>
      <c r="N616" s="2"/>
      <c r="O616" s="2"/>
      <c r="P616" s="2"/>
      <c r="Q616" s="2"/>
      <c r="R616" s="2"/>
      <c r="S616" s="2"/>
      <c r="T616" s="2"/>
      <c r="U616" s="2"/>
      <c r="V616" s="2"/>
      <c r="W616" s="2"/>
      <c r="X616" s="2"/>
      <c r="Y616" s="2"/>
      <c r="Z616" s="2"/>
      <c r="AA616" s="2"/>
      <c r="AB616" s="2"/>
    </row>
    <row r="617" spans="1:28" ht="13">
      <c r="A617" s="2"/>
      <c r="B617" s="2"/>
      <c r="C617" s="2"/>
      <c r="D617" s="2"/>
      <c r="E617" s="2"/>
      <c r="F617" s="2"/>
      <c r="G617" s="43"/>
      <c r="H617" s="2"/>
      <c r="I617" s="2"/>
      <c r="J617" s="2"/>
      <c r="K617" s="2"/>
      <c r="L617" s="2"/>
      <c r="M617" s="2"/>
      <c r="N617" s="2"/>
      <c r="O617" s="2"/>
      <c r="P617" s="2"/>
      <c r="Q617" s="2"/>
      <c r="R617" s="2"/>
      <c r="S617" s="2"/>
      <c r="T617" s="2"/>
      <c r="U617" s="2"/>
      <c r="V617" s="2"/>
      <c r="W617" s="2"/>
      <c r="X617" s="2"/>
      <c r="Y617" s="2"/>
      <c r="Z617" s="2"/>
      <c r="AA617" s="2"/>
      <c r="AB617" s="2"/>
    </row>
    <row r="618" spans="1:28" ht="13">
      <c r="A618" s="2"/>
      <c r="B618" s="2"/>
      <c r="C618" s="2"/>
      <c r="D618" s="2"/>
      <c r="E618" s="2"/>
      <c r="F618" s="2"/>
      <c r="G618" s="43"/>
      <c r="H618" s="2"/>
      <c r="I618" s="2"/>
      <c r="J618" s="2"/>
      <c r="K618" s="2"/>
      <c r="L618" s="2"/>
      <c r="M618" s="2"/>
      <c r="N618" s="2"/>
      <c r="O618" s="2"/>
      <c r="P618" s="2"/>
      <c r="Q618" s="2"/>
      <c r="R618" s="2"/>
      <c r="S618" s="2"/>
      <c r="T618" s="2"/>
      <c r="U618" s="2"/>
      <c r="V618" s="2"/>
      <c r="W618" s="2"/>
      <c r="X618" s="2"/>
      <c r="Y618" s="2"/>
      <c r="Z618" s="2"/>
      <c r="AA618" s="2"/>
      <c r="AB618" s="2"/>
    </row>
    <row r="619" spans="1:28" ht="13">
      <c r="A619" s="2"/>
      <c r="B619" s="2"/>
      <c r="C619" s="2"/>
      <c r="D619" s="2"/>
      <c r="E619" s="2"/>
      <c r="F619" s="2"/>
      <c r="G619" s="43"/>
      <c r="H619" s="2"/>
      <c r="I619" s="2"/>
      <c r="J619" s="2"/>
      <c r="K619" s="2"/>
      <c r="L619" s="2"/>
      <c r="M619" s="2"/>
      <c r="N619" s="2"/>
      <c r="O619" s="2"/>
      <c r="P619" s="2"/>
      <c r="Q619" s="2"/>
      <c r="R619" s="2"/>
      <c r="S619" s="2"/>
      <c r="T619" s="2"/>
      <c r="U619" s="2"/>
      <c r="V619" s="2"/>
      <c r="W619" s="2"/>
      <c r="X619" s="2"/>
      <c r="Y619" s="2"/>
      <c r="Z619" s="2"/>
      <c r="AA619" s="2"/>
      <c r="AB619" s="2"/>
    </row>
    <row r="620" spans="1:28" ht="13">
      <c r="A620" s="2"/>
      <c r="B620" s="2"/>
      <c r="C620" s="2"/>
      <c r="D620" s="2"/>
      <c r="E620" s="2"/>
      <c r="F620" s="2"/>
      <c r="G620" s="43"/>
      <c r="H620" s="2"/>
      <c r="I620" s="2"/>
      <c r="J620" s="2"/>
      <c r="K620" s="2"/>
      <c r="L620" s="2"/>
      <c r="M620" s="2"/>
      <c r="N620" s="2"/>
      <c r="O620" s="2"/>
      <c r="P620" s="2"/>
      <c r="Q620" s="2"/>
      <c r="R620" s="2"/>
      <c r="S620" s="2"/>
      <c r="T620" s="2"/>
      <c r="U620" s="2"/>
      <c r="V620" s="2"/>
      <c r="W620" s="2"/>
      <c r="X620" s="2"/>
      <c r="Y620" s="2"/>
      <c r="Z620" s="2"/>
      <c r="AA620" s="2"/>
      <c r="AB620" s="2"/>
    </row>
    <row r="621" spans="1:28" ht="13">
      <c r="A621" s="2"/>
      <c r="B621" s="2"/>
      <c r="C621" s="2"/>
      <c r="D621" s="2"/>
      <c r="E621" s="2"/>
      <c r="F621" s="2"/>
      <c r="G621" s="43"/>
      <c r="H621" s="2"/>
      <c r="I621" s="2"/>
      <c r="J621" s="2"/>
      <c r="K621" s="2"/>
      <c r="L621" s="2"/>
      <c r="M621" s="2"/>
      <c r="N621" s="2"/>
      <c r="O621" s="2"/>
      <c r="P621" s="2"/>
      <c r="Q621" s="2"/>
      <c r="R621" s="2"/>
      <c r="S621" s="2"/>
      <c r="T621" s="2"/>
      <c r="U621" s="2"/>
      <c r="V621" s="2"/>
      <c r="W621" s="2"/>
      <c r="X621" s="2"/>
      <c r="Y621" s="2"/>
      <c r="Z621" s="2"/>
      <c r="AA621" s="2"/>
      <c r="AB621" s="2"/>
    </row>
    <row r="622" spans="1:28" ht="13">
      <c r="A622" s="2"/>
      <c r="B622" s="2"/>
      <c r="C622" s="2"/>
      <c r="D622" s="2"/>
      <c r="E622" s="2"/>
      <c r="F622" s="2"/>
      <c r="G622" s="43"/>
      <c r="H622" s="2"/>
      <c r="I622" s="2"/>
      <c r="J622" s="2"/>
      <c r="K622" s="2"/>
      <c r="L622" s="2"/>
      <c r="M622" s="2"/>
      <c r="N622" s="2"/>
      <c r="O622" s="2"/>
      <c r="P622" s="2"/>
      <c r="Q622" s="2"/>
      <c r="R622" s="2"/>
      <c r="S622" s="2"/>
      <c r="T622" s="2"/>
      <c r="U622" s="2"/>
      <c r="V622" s="2"/>
      <c r="W622" s="2"/>
      <c r="X622" s="2"/>
      <c r="Y622" s="2"/>
      <c r="Z622" s="2"/>
      <c r="AA622" s="2"/>
      <c r="AB622" s="2"/>
    </row>
    <row r="623" spans="1:28" ht="13">
      <c r="A623" s="2"/>
      <c r="B623" s="2"/>
      <c r="C623" s="2"/>
      <c r="D623" s="2"/>
      <c r="E623" s="2"/>
      <c r="F623" s="2"/>
      <c r="G623" s="43"/>
      <c r="H623" s="2"/>
      <c r="I623" s="2"/>
      <c r="J623" s="2"/>
      <c r="K623" s="2"/>
      <c r="L623" s="2"/>
      <c r="M623" s="2"/>
      <c r="N623" s="2"/>
      <c r="O623" s="2"/>
      <c r="P623" s="2"/>
      <c r="Q623" s="2"/>
      <c r="R623" s="2"/>
      <c r="S623" s="2"/>
      <c r="T623" s="2"/>
      <c r="U623" s="2"/>
      <c r="V623" s="2"/>
      <c r="W623" s="2"/>
      <c r="X623" s="2"/>
      <c r="Y623" s="2"/>
      <c r="Z623" s="2"/>
      <c r="AA623" s="2"/>
      <c r="AB623" s="2"/>
    </row>
    <row r="624" spans="1:28" ht="13">
      <c r="A624" s="2"/>
      <c r="B624" s="2"/>
      <c r="C624" s="2"/>
      <c r="D624" s="2"/>
      <c r="E624" s="2"/>
      <c r="F624" s="2"/>
      <c r="G624" s="43"/>
      <c r="H624" s="2"/>
      <c r="I624" s="2"/>
      <c r="J624" s="2"/>
      <c r="K624" s="2"/>
      <c r="L624" s="2"/>
      <c r="M624" s="2"/>
      <c r="N624" s="2"/>
      <c r="O624" s="2"/>
      <c r="P624" s="2"/>
      <c r="Q624" s="2"/>
      <c r="R624" s="2"/>
      <c r="S624" s="2"/>
      <c r="T624" s="2"/>
      <c r="U624" s="2"/>
      <c r="V624" s="2"/>
      <c r="W624" s="2"/>
      <c r="X624" s="2"/>
      <c r="Y624" s="2"/>
      <c r="Z624" s="2"/>
      <c r="AA624" s="2"/>
      <c r="AB624" s="2"/>
    </row>
    <row r="625" spans="1:28" ht="13">
      <c r="A625" s="2"/>
      <c r="B625" s="2"/>
      <c r="C625" s="2"/>
      <c r="D625" s="2"/>
      <c r="E625" s="2"/>
      <c r="F625" s="2"/>
      <c r="G625" s="43"/>
      <c r="H625" s="2"/>
      <c r="I625" s="2"/>
      <c r="J625" s="2"/>
      <c r="K625" s="2"/>
      <c r="L625" s="2"/>
      <c r="M625" s="2"/>
      <c r="N625" s="2"/>
      <c r="O625" s="2"/>
      <c r="P625" s="2"/>
      <c r="Q625" s="2"/>
      <c r="R625" s="2"/>
      <c r="S625" s="2"/>
      <c r="T625" s="2"/>
      <c r="U625" s="2"/>
      <c r="V625" s="2"/>
      <c r="W625" s="2"/>
      <c r="X625" s="2"/>
      <c r="Y625" s="2"/>
      <c r="Z625" s="2"/>
      <c r="AA625" s="2"/>
      <c r="AB625" s="2"/>
    </row>
    <row r="626" spans="1:28" ht="13">
      <c r="A626" s="2"/>
      <c r="B626" s="2"/>
      <c r="C626" s="2"/>
      <c r="D626" s="2"/>
      <c r="E626" s="2"/>
      <c r="F626" s="2"/>
      <c r="G626" s="43"/>
      <c r="H626" s="2"/>
      <c r="I626" s="2"/>
      <c r="J626" s="2"/>
      <c r="K626" s="2"/>
      <c r="L626" s="2"/>
      <c r="M626" s="2"/>
      <c r="N626" s="2"/>
      <c r="O626" s="2"/>
      <c r="P626" s="2"/>
      <c r="Q626" s="2"/>
      <c r="R626" s="2"/>
      <c r="S626" s="2"/>
      <c r="T626" s="2"/>
      <c r="U626" s="2"/>
      <c r="V626" s="2"/>
      <c r="W626" s="2"/>
      <c r="X626" s="2"/>
      <c r="Y626" s="2"/>
      <c r="Z626" s="2"/>
      <c r="AA626" s="2"/>
      <c r="AB626" s="2"/>
    </row>
    <row r="627" spans="1:28" ht="13">
      <c r="A627" s="2"/>
      <c r="B627" s="2"/>
      <c r="C627" s="2"/>
      <c r="D627" s="2"/>
      <c r="E627" s="2"/>
      <c r="F627" s="2"/>
      <c r="G627" s="43"/>
      <c r="H627" s="2"/>
      <c r="I627" s="2"/>
      <c r="J627" s="2"/>
      <c r="K627" s="2"/>
      <c r="L627" s="2"/>
      <c r="M627" s="2"/>
      <c r="N627" s="2"/>
      <c r="O627" s="2"/>
      <c r="P627" s="2"/>
      <c r="Q627" s="2"/>
      <c r="R627" s="2"/>
      <c r="S627" s="2"/>
      <c r="T627" s="2"/>
      <c r="U627" s="2"/>
      <c r="V627" s="2"/>
      <c r="W627" s="2"/>
      <c r="X627" s="2"/>
      <c r="Y627" s="2"/>
      <c r="Z627" s="2"/>
      <c r="AA627" s="2"/>
      <c r="AB627" s="2"/>
    </row>
    <row r="628" spans="1:28" ht="13">
      <c r="A628" s="2"/>
      <c r="B628" s="2"/>
      <c r="C628" s="2"/>
      <c r="D628" s="2"/>
      <c r="E628" s="2"/>
      <c r="F628" s="2"/>
      <c r="G628" s="43"/>
      <c r="H628" s="2"/>
      <c r="I628" s="2"/>
      <c r="J628" s="2"/>
      <c r="K628" s="2"/>
      <c r="L628" s="2"/>
      <c r="M628" s="2"/>
      <c r="N628" s="2"/>
      <c r="O628" s="2"/>
      <c r="P628" s="2"/>
      <c r="Q628" s="2"/>
      <c r="R628" s="2"/>
      <c r="S628" s="2"/>
      <c r="T628" s="2"/>
      <c r="U628" s="2"/>
      <c r="V628" s="2"/>
      <c r="W628" s="2"/>
      <c r="X628" s="2"/>
      <c r="Y628" s="2"/>
      <c r="Z628" s="2"/>
      <c r="AA628" s="2"/>
      <c r="AB628" s="2"/>
    </row>
    <row r="629" spans="1:28" ht="13">
      <c r="A629" s="2"/>
      <c r="B629" s="2"/>
      <c r="C629" s="2"/>
      <c r="D629" s="2"/>
      <c r="E629" s="2"/>
      <c r="F629" s="2"/>
      <c r="G629" s="43"/>
      <c r="H629" s="2"/>
      <c r="I629" s="2"/>
      <c r="J629" s="2"/>
      <c r="K629" s="2"/>
      <c r="L629" s="2"/>
      <c r="M629" s="2"/>
      <c r="N629" s="2"/>
      <c r="O629" s="2"/>
      <c r="P629" s="2"/>
      <c r="Q629" s="2"/>
      <c r="R629" s="2"/>
      <c r="S629" s="2"/>
      <c r="T629" s="2"/>
      <c r="U629" s="2"/>
      <c r="V629" s="2"/>
      <c r="W629" s="2"/>
      <c r="X629" s="2"/>
      <c r="Y629" s="2"/>
      <c r="Z629" s="2"/>
      <c r="AA629" s="2"/>
      <c r="AB629" s="2"/>
    </row>
    <row r="630" spans="1:28" ht="13">
      <c r="A630" s="2"/>
      <c r="B630" s="2"/>
      <c r="C630" s="2"/>
      <c r="D630" s="2"/>
      <c r="E630" s="2"/>
      <c r="F630" s="2"/>
      <c r="G630" s="43"/>
      <c r="H630" s="2"/>
      <c r="I630" s="2"/>
      <c r="J630" s="2"/>
      <c r="K630" s="2"/>
      <c r="L630" s="2"/>
      <c r="M630" s="2"/>
      <c r="N630" s="2"/>
      <c r="O630" s="2"/>
      <c r="P630" s="2"/>
      <c r="Q630" s="2"/>
      <c r="R630" s="2"/>
      <c r="S630" s="2"/>
      <c r="T630" s="2"/>
      <c r="U630" s="2"/>
      <c r="V630" s="2"/>
      <c r="W630" s="2"/>
      <c r="X630" s="2"/>
      <c r="Y630" s="2"/>
      <c r="Z630" s="2"/>
      <c r="AA630" s="2"/>
      <c r="AB630" s="2"/>
    </row>
    <row r="631" spans="1:28" ht="13">
      <c r="A631" s="2"/>
      <c r="B631" s="2"/>
      <c r="C631" s="2"/>
      <c r="D631" s="2"/>
      <c r="E631" s="2"/>
      <c r="F631" s="2"/>
      <c r="G631" s="43"/>
      <c r="H631" s="2"/>
      <c r="I631" s="2"/>
      <c r="J631" s="2"/>
      <c r="K631" s="2"/>
      <c r="L631" s="2"/>
      <c r="M631" s="2"/>
      <c r="N631" s="2"/>
      <c r="O631" s="2"/>
      <c r="P631" s="2"/>
      <c r="Q631" s="2"/>
      <c r="R631" s="2"/>
      <c r="S631" s="2"/>
      <c r="T631" s="2"/>
      <c r="U631" s="2"/>
      <c r="V631" s="2"/>
      <c r="W631" s="2"/>
      <c r="X631" s="2"/>
      <c r="Y631" s="2"/>
      <c r="Z631" s="2"/>
      <c r="AA631" s="2"/>
      <c r="AB631" s="2"/>
    </row>
    <row r="632" spans="1:28" ht="13">
      <c r="A632" s="2"/>
      <c r="B632" s="2"/>
      <c r="C632" s="2"/>
      <c r="D632" s="2"/>
      <c r="E632" s="2"/>
      <c r="F632" s="2"/>
      <c r="G632" s="43"/>
      <c r="H632" s="2"/>
      <c r="I632" s="2"/>
      <c r="J632" s="2"/>
      <c r="K632" s="2"/>
      <c r="L632" s="2"/>
      <c r="M632" s="2"/>
      <c r="N632" s="2"/>
      <c r="O632" s="2"/>
      <c r="P632" s="2"/>
      <c r="Q632" s="2"/>
      <c r="R632" s="2"/>
      <c r="S632" s="2"/>
      <c r="T632" s="2"/>
      <c r="U632" s="2"/>
      <c r="V632" s="2"/>
      <c r="W632" s="2"/>
      <c r="X632" s="2"/>
      <c r="Y632" s="2"/>
      <c r="Z632" s="2"/>
      <c r="AA632" s="2"/>
      <c r="AB632" s="2"/>
    </row>
    <row r="633" spans="1:28" ht="13">
      <c r="A633" s="2"/>
      <c r="B633" s="2"/>
      <c r="C633" s="2"/>
      <c r="D633" s="2"/>
      <c r="E633" s="2"/>
      <c r="F633" s="2"/>
      <c r="G633" s="43"/>
      <c r="H633" s="2"/>
      <c r="I633" s="2"/>
      <c r="J633" s="2"/>
      <c r="K633" s="2"/>
      <c r="L633" s="2"/>
      <c r="M633" s="2"/>
      <c r="N633" s="2"/>
      <c r="O633" s="2"/>
      <c r="P633" s="2"/>
      <c r="Q633" s="2"/>
      <c r="R633" s="2"/>
      <c r="S633" s="2"/>
      <c r="T633" s="2"/>
      <c r="U633" s="2"/>
      <c r="V633" s="2"/>
      <c r="W633" s="2"/>
      <c r="X633" s="2"/>
      <c r="Y633" s="2"/>
      <c r="Z633" s="2"/>
      <c r="AA633" s="2"/>
      <c r="AB633" s="2"/>
    </row>
    <row r="634" spans="1:28" ht="13">
      <c r="A634" s="2"/>
      <c r="B634" s="2"/>
      <c r="C634" s="2"/>
      <c r="D634" s="2"/>
      <c r="E634" s="2"/>
      <c r="F634" s="2"/>
      <c r="G634" s="43"/>
      <c r="H634" s="2"/>
      <c r="I634" s="2"/>
      <c r="J634" s="2"/>
      <c r="K634" s="2"/>
      <c r="L634" s="2"/>
      <c r="M634" s="2"/>
      <c r="N634" s="2"/>
      <c r="O634" s="2"/>
      <c r="P634" s="2"/>
      <c r="Q634" s="2"/>
      <c r="R634" s="2"/>
      <c r="S634" s="2"/>
      <c r="T634" s="2"/>
      <c r="U634" s="2"/>
      <c r="V634" s="2"/>
      <c r="W634" s="2"/>
      <c r="X634" s="2"/>
      <c r="Y634" s="2"/>
      <c r="Z634" s="2"/>
      <c r="AA634" s="2"/>
      <c r="AB634" s="2"/>
    </row>
    <row r="635" spans="1:28" ht="13">
      <c r="A635" s="2"/>
      <c r="B635" s="2"/>
      <c r="C635" s="2"/>
      <c r="D635" s="2"/>
      <c r="E635" s="2"/>
      <c r="F635" s="2"/>
      <c r="G635" s="43"/>
      <c r="H635" s="2"/>
      <c r="I635" s="2"/>
      <c r="J635" s="2"/>
      <c r="K635" s="2"/>
      <c r="L635" s="2"/>
      <c r="M635" s="2"/>
      <c r="N635" s="2"/>
      <c r="O635" s="2"/>
      <c r="P635" s="2"/>
      <c r="Q635" s="2"/>
      <c r="R635" s="2"/>
      <c r="S635" s="2"/>
      <c r="T635" s="2"/>
      <c r="U635" s="2"/>
      <c r="V635" s="2"/>
      <c r="W635" s="2"/>
      <c r="X635" s="2"/>
      <c r="Y635" s="2"/>
      <c r="Z635" s="2"/>
      <c r="AA635" s="2"/>
      <c r="AB635" s="2"/>
    </row>
    <row r="636" spans="1:28" ht="13">
      <c r="A636" s="2"/>
      <c r="B636" s="2"/>
      <c r="C636" s="2"/>
      <c r="D636" s="2"/>
      <c r="E636" s="2"/>
      <c r="F636" s="2"/>
      <c r="G636" s="43"/>
      <c r="H636" s="2"/>
      <c r="I636" s="2"/>
      <c r="J636" s="2"/>
      <c r="K636" s="2"/>
      <c r="L636" s="2"/>
      <c r="M636" s="2"/>
      <c r="N636" s="2"/>
      <c r="O636" s="2"/>
      <c r="P636" s="2"/>
      <c r="Q636" s="2"/>
      <c r="R636" s="2"/>
      <c r="S636" s="2"/>
      <c r="T636" s="2"/>
      <c r="U636" s="2"/>
      <c r="V636" s="2"/>
      <c r="W636" s="2"/>
      <c r="X636" s="2"/>
      <c r="Y636" s="2"/>
      <c r="Z636" s="2"/>
      <c r="AA636" s="2"/>
      <c r="AB636" s="2"/>
    </row>
    <row r="637" spans="1:28" ht="13">
      <c r="A637" s="2"/>
      <c r="B637" s="2"/>
      <c r="C637" s="2"/>
      <c r="D637" s="2"/>
      <c r="E637" s="2"/>
      <c r="F637" s="2"/>
      <c r="G637" s="43"/>
      <c r="H637" s="2"/>
      <c r="I637" s="2"/>
      <c r="J637" s="2"/>
      <c r="K637" s="2"/>
      <c r="L637" s="2"/>
      <c r="M637" s="2"/>
      <c r="N637" s="2"/>
      <c r="O637" s="2"/>
      <c r="P637" s="2"/>
      <c r="Q637" s="2"/>
      <c r="R637" s="2"/>
      <c r="S637" s="2"/>
      <c r="T637" s="2"/>
      <c r="U637" s="2"/>
      <c r="V637" s="2"/>
      <c r="W637" s="2"/>
      <c r="X637" s="2"/>
      <c r="Y637" s="2"/>
      <c r="Z637" s="2"/>
      <c r="AA637" s="2"/>
      <c r="AB637" s="2"/>
    </row>
    <row r="638" spans="1:28" ht="13">
      <c r="A638" s="2"/>
      <c r="B638" s="2"/>
      <c r="C638" s="2"/>
      <c r="D638" s="2"/>
      <c r="E638" s="2"/>
      <c r="F638" s="2"/>
      <c r="G638" s="43"/>
      <c r="H638" s="2"/>
      <c r="I638" s="2"/>
      <c r="J638" s="2"/>
      <c r="K638" s="2"/>
      <c r="L638" s="2"/>
      <c r="M638" s="2"/>
      <c r="N638" s="2"/>
      <c r="O638" s="2"/>
      <c r="P638" s="2"/>
      <c r="Q638" s="2"/>
      <c r="R638" s="2"/>
      <c r="S638" s="2"/>
      <c r="T638" s="2"/>
      <c r="U638" s="2"/>
      <c r="V638" s="2"/>
      <c r="W638" s="2"/>
      <c r="X638" s="2"/>
      <c r="Y638" s="2"/>
      <c r="Z638" s="2"/>
      <c r="AA638" s="2"/>
      <c r="AB638" s="2"/>
    </row>
    <row r="639" spans="1:28" ht="13">
      <c r="A639" s="2"/>
      <c r="B639" s="2"/>
      <c r="C639" s="2"/>
      <c r="D639" s="2"/>
      <c r="E639" s="2"/>
      <c r="F639" s="2"/>
      <c r="G639" s="43"/>
      <c r="H639" s="2"/>
      <c r="I639" s="2"/>
      <c r="J639" s="2"/>
      <c r="K639" s="2"/>
      <c r="L639" s="2"/>
      <c r="M639" s="2"/>
      <c r="N639" s="2"/>
      <c r="O639" s="2"/>
      <c r="P639" s="2"/>
      <c r="Q639" s="2"/>
      <c r="R639" s="2"/>
      <c r="S639" s="2"/>
      <c r="T639" s="2"/>
      <c r="U639" s="2"/>
      <c r="V639" s="2"/>
      <c r="W639" s="2"/>
      <c r="X639" s="2"/>
      <c r="Y639" s="2"/>
      <c r="Z639" s="2"/>
      <c r="AA639" s="2"/>
      <c r="AB639" s="2"/>
    </row>
    <row r="640" spans="1:28" ht="13">
      <c r="A640" s="2"/>
      <c r="B640" s="2"/>
      <c r="C640" s="2"/>
      <c r="D640" s="2"/>
      <c r="E640" s="2"/>
      <c r="F640" s="2"/>
      <c r="G640" s="43"/>
      <c r="H640" s="2"/>
      <c r="I640" s="2"/>
      <c r="J640" s="2"/>
      <c r="K640" s="2"/>
      <c r="L640" s="2"/>
      <c r="M640" s="2"/>
      <c r="N640" s="2"/>
      <c r="O640" s="2"/>
      <c r="P640" s="2"/>
      <c r="Q640" s="2"/>
      <c r="R640" s="2"/>
      <c r="S640" s="2"/>
      <c r="T640" s="2"/>
      <c r="U640" s="2"/>
      <c r="V640" s="2"/>
      <c r="W640" s="2"/>
      <c r="X640" s="2"/>
      <c r="Y640" s="2"/>
      <c r="Z640" s="2"/>
      <c r="AA640" s="2"/>
      <c r="AB640" s="2"/>
    </row>
    <row r="641" spans="1:28" ht="13">
      <c r="A641" s="2"/>
      <c r="B641" s="2"/>
      <c r="C641" s="2"/>
      <c r="D641" s="2"/>
      <c r="E641" s="2"/>
      <c r="F641" s="2"/>
      <c r="G641" s="43"/>
      <c r="H641" s="2"/>
      <c r="I641" s="2"/>
      <c r="J641" s="2"/>
      <c r="K641" s="2"/>
      <c r="L641" s="2"/>
      <c r="M641" s="2"/>
      <c r="N641" s="2"/>
      <c r="O641" s="2"/>
      <c r="P641" s="2"/>
      <c r="Q641" s="2"/>
      <c r="R641" s="2"/>
      <c r="S641" s="2"/>
      <c r="T641" s="2"/>
      <c r="U641" s="2"/>
      <c r="V641" s="2"/>
      <c r="W641" s="2"/>
      <c r="X641" s="2"/>
      <c r="Y641" s="2"/>
      <c r="Z641" s="2"/>
      <c r="AA641" s="2"/>
      <c r="AB641" s="2"/>
    </row>
    <row r="642" spans="1:28" ht="13">
      <c r="A642" s="2"/>
      <c r="B642" s="2"/>
      <c r="C642" s="2"/>
      <c r="D642" s="2"/>
      <c r="E642" s="2"/>
      <c r="F642" s="2"/>
      <c r="G642" s="43"/>
      <c r="H642" s="2"/>
      <c r="I642" s="2"/>
      <c r="J642" s="2"/>
      <c r="K642" s="2"/>
      <c r="L642" s="2"/>
      <c r="M642" s="2"/>
      <c r="N642" s="2"/>
      <c r="O642" s="2"/>
      <c r="P642" s="2"/>
      <c r="Q642" s="2"/>
      <c r="R642" s="2"/>
      <c r="S642" s="2"/>
      <c r="T642" s="2"/>
      <c r="U642" s="2"/>
      <c r="V642" s="2"/>
      <c r="W642" s="2"/>
      <c r="X642" s="2"/>
      <c r="Y642" s="2"/>
      <c r="Z642" s="2"/>
      <c r="AA642" s="2"/>
      <c r="AB642" s="2"/>
    </row>
    <row r="643" spans="1:28" ht="13">
      <c r="A643" s="2"/>
      <c r="B643" s="2"/>
      <c r="C643" s="2"/>
      <c r="D643" s="2"/>
      <c r="E643" s="2"/>
      <c r="F643" s="2"/>
      <c r="G643" s="43"/>
      <c r="H643" s="2"/>
      <c r="I643" s="2"/>
      <c r="J643" s="2"/>
      <c r="K643" s="2"/>
      <c r="L643" s="2"/>
      <c r="M643" s="2"/>
      <c r="N643" s="2"/>
      <c r="O643" s="2"/>
      <c r="P643" s="2"/>
      <c r="Q643" s="2"/>
      <c r="R643" s="2"/>
      <c r="S643" s="2"/>
      <c r="T643" s="2"/>
      <c r="U643" s="2"/>
      <c r="V643" s="2"/>
      <c r="W643" s="2"/>
      <c r="X643" s="2"/>
      <c r="Y643" s="2"/>
      <c r="Z643" s="2"/>
      <c r="AA643" s="2"/>
      <c r="AB643" s="2"/>
    </row>
    <row r="644" spans="1:28" ht="13">
      <c r="A644" s="2"/>
      <c r="B644" s="2"/>
      <c r="C644" s="2"/>
      <c r="D644" s="2"/>
      <c r="E644" s="2"/>
      <c r="F644" s="2"/>
      <c r="G644" s="43"/>
      <c r="H644" s="2"/>
      <c r="I644" s="2"/>
      <c r="J644" s="2"/>
      <c r="K644" s="2"/>
      <c r="L644" s="2"/>
      <c r="M644" s="2"/>
      <c r="N644" s="2"/>
      <c r="O644" s="2"/>
      <c r="P644" s="2"/>
      <c r="Q644" s="2"/>
      <c r="R644" s="2"/>
      <c r="S644" s="2"/>
      <c r="T644" s="2"/>
      <c r="U644" s="2"/>
      <c r="V644" s="2"/>
      <c r="W644" s="2"/>
      <c r="X644" s="2"/>
      <c r="Y644" s="2"/>
      <c r="Z644" s="2"/>
      <c r="AA644" s="2"/>
      <c r="AB644" s="2"/>
    </row>
    <row r="645" spans="1:28" ht="13">
      <c r="A645" s="2"/>
      <c r="B645" s="2"/>
      <c r="C645" s="2"/>
      <c r="D645" s="2"/>
      <c r="E645" s="2"/>
      <c r="F645" s="2"/>
      <c r="G645" s="43"/>
      <c r="H645" s="2"/>
      <c r="I645" s="2"/>
      <c r="J645" s="2"/>
      <c r="K645" s="2"/>
      <c r="L645" s="2"/>
      <c r="M645" s="2"/>
      <c r="N645" s="2"/>
      <c r="O645" s="2"/>
      <c r="P645" s="2"/>
      <c r="Q645" s="2"/>
      <c r="R645" s="2"/>
      <c r="S645" s="2"/>
      <c r="T645" s="2"/>
      <c r="U645" s="2"/>
      <c r="V645" s="2"/>
      <c r="W645" s="2"/>
      <c r="X645" s="2"/>
      <c r="Y645" s="2"/>
      <c r="Z645" s="2"/>
      <c r="AA645" s="2"/>
      <c r="AB645" s="2"/>
    </row>
    <row r="646" spans="1:28" ht="13">
      <c r="A646" s="2"/>
      <c r="B646" s="2"/>
      <c r="C646" s="2"/>
      <c r="D646" s="2"/>
      <c r="E646" s="2"/>
      <c r="F646" s="2"/>
      <c r="G646" s="43"/>
      <c r="H646" s="2"/>
      <c r="I646" s="2"/>
      <c r="J646" s="2"/>
      <c r="K646" s="2"/>
      <c r="L646" s="2"/>
      <c r="M646" s="2"/>
      <c r="N646" s="2"/>
      <c r="O646" s="2"/>
      <c r="P646" s="2"/>
      <c r="Q646" s="2"/>
      <c r="R646" s="2"/>
      <c r="S646" s="2"/>
      <c r="T646" s="2"/>
      <c r="U646" s="2"/>
      <c r="V646" s="2"/>
      <c r="W646" s="2"/>
      <c r="X646" s="2"/>
      <c r="Y646" s="2"/>
      <c r="Z646" s="2"/>
      <c r="AA646" s="2"/>
      <c r="AB646" s="2"/>
    </row>
    <row r="647" spans="1:28" ht="13">
      <c r="A647" s="2"/>
      <c r="B647" s="2"/>
      <c r="C647" s="2"/>
      <c r="D647" s="2"/>
      <c r="E647" s="2"/>
      <c r="F647" s="2"/>
      <c r="G647" s="43"/>
      <c r="H647" s="2"/>
      <c r="I647" s="2"/>
      <c r="J647" s="2"/>
      <c r="K647" s="2"/>
      <c r="L647" s="2"/>
      <c r="M647" s="2"/>
      <c r="N647" s="2"/>
      <c r="O647" s="2"/>
      <c r="P647" s="2"/>
      <c r="Q647" s="2"/>
      <c r="R647" s="2"/>
      <c r="S647" s="2"/>
      <c r="T647" s="2"/>
      <c r="U647" s="2"/>
      <c r="V647" s="2"/>
      <c r="W647" s="2"/>
      <c r="X647" s="2"/>
      <c r="Y647" s="2"/>
      <c r="Z647" s="2"/>
      <c r="AA647" s="2"/>
      <c r="AB647" s="2"/>
    </row>
    <row r="648" spans="1:28" ht="13">
      <c r="A648" s="2"/>
      <c r="B648" s="2"/>
      <c r="C648" s="2"/>
      <c r="D648" s="2"/>
      <c r="E648" s="2"/>
      <c r="F648" s="2"/>
      <c r="G648" s="43"/>
      <c r="H648" s="2"/>
      <c r="I648" s="2"/>
      <c r="J648" s="2"/>
      <c r="K648" s="2"/>
      <c r="L648" s="2"/>
      <c r="M648" s="2"/>
      <c r="N648" s="2"/>
      <c r="O648" s="2"/>
      <c r="P648" s="2"/>
      <c r="Q648" s="2"/>
      <c r="R648" s="2"/>
      <c r="S648" s="2"/>
      <c r="T648" s="2"/>
      <c r="U648" s="2"/>
      <c r="V648" s="2"/>
      <c r="W648" s="2"/>
      <c r="X648" s="2"/>
      <c r="Y648" s="2"/>
      <c r="Z648" s="2"/>
      <c r="AA648" s="2"/>
      <c r="AB648" s="2"/>
    </row>
    <row r="649" spans="1:28" ht="13">
      <c r="A649" s="2"/>
      <c r="B649" s="2"/>
      <c r="C649" s="2"/>
      <c r="D649" s="2"/>
      <c r="E649" s="2"/>
      <c r="F649" s="2"/>
      <c r="G649" s="43"/>
      <c r="H649" s="2"/>
      <c r="I649" s="2"/>
      <c r="J649" s="2"/>
      <c r="K649" s="2"/>
      <c r="L649" s="2"/>
      <c r="M649" s="2"/>
      <c r="N649" s="2"/>
      <c r="O649" s="2"/>
      <c r="P649" s="2"/>
      <c r="Q649" s="2"/>
      <c r="R649" s="2"/>
      <c r="S649" s="2"/>
      <c r="T649" s="2"/>
      <c r="U649" s="2"/>
      <c r="V649" s="2"/>
      <c r="W649" s="2"/>
      <c r="X649" s="2"/>
      <c r="Y649" s="2"/>
      <c r="Z649" s="2"/>
      <c r="AA649" s="2"/>
      <c r="AB649" s="2"/>
    </row>
    <row r="650" spans="1:28" ht="13">
      <c r="A650" s="2"/>
      <c r="B650" s="2"/>
      <c r="C650" s="2"/>
      <c r="D650" s="2"/>
      <c r="E650" s="2"/>
      <c r="F650" s="2"/>
      <c r="G650" s="43"/>
      <c r="H650" s="2"/>
      <c r="I650" s="2"/>
      <c r="J650" s="2"/>
      <c r="K650" s="2"/>
      <c r="L650" s="2"/>
      <c r="M650" s="2"/>
      <c r="N650" s="2"/>
      <c r="O650" s="2"/>
      <c r="P650" s="2"/>
      <c r="Q650" s="2"/>
      <c r="R650" s="2"/>
      <c r="S650" s="2"/>
      <c r="T650" s="2"/>
      <c r="U650" s="2"/>
      <c r="V650" s="2"/>
      <c r="W650" s="2"/>
      <c r="X650" s="2"/>
      <c r="Y650" s="2"/>
      <c r="Z650" s="2"/>
      <c r="AA650" s="2"/>
      <c r="AB650" s="2"/>
    </row>
    <row r="651" spans="1:28" ht="13">
      <c r="A651" s="2"/>
      <c r="B651" s="2"/>
      <c r="C651" s="2"/>
      <c r="D651" s="2"/>
      <c r="E651" s="2"/>
      <c r="F651" s="2"/>
      <c r="G651" s="43"/>
      <c r="H651" s="2"/>
      <c r="I651" s="2"/>
      <c r="J651" s="2"/>
      <c r="K651" s="2"/>
      <c r="L651" s="2"/>
      <c r="M651" s="2"/>
      <c r="N651" s="2"/>
      <c r="O651" s="2"/>
      <c r="P651" s="2"/>
      <c r="Q651" s="2"/>
      <c r="R651" s="2"/>
      <c r="S651" s="2"/>
      <c r="T651" s="2"/>
      <c r="U651" s="2"/>
      <c r="V651" s="2"/>
      <c r="W651" s="2"/>
      <c r="X651" s="2"/>
      <c r="Y651" s="2"/>
      <c r="Z651" s="2"/>
      <c r="AA651" s="2"/>
      <c r="AB651" s="2"/>
    </row>
    <row r="652" spans="1:28" ht="13">
      <c r="A652" s="2"/>
      <c r="B652" s="2"/>
      <c r="C652" s="2"/>
      <c r="D652" s="2"/>
      <c r="E652" s="2"/>
      <c r="F652" s="2"/>
      <c r="G652" s="43"/>
      <c r="H652" s="2"/>
      <c r="I652" s="2"/>
      <c r="J652" s="2"/>
      <c r="K652" s="2"/>
      <c r="L652" s="2"/>
      <c r="M652" s="2"/>
      <c r="N652" s="2"/>
      <c r="O652" s="2"/>
      <c r="P652" s="2"/>
      <c r="Q652" s="2"/>
      <c r="R652" s="2"/>
      <c r="S652" s="2"/>
      <c r="T652" s="2"/>
      <c r="U652" s="2"/>
      <c r="V652" s="2"/>
      <c r="W652" s="2"/>
      <c r="X652" s="2"/>
      <c r="Y652" s="2"/>
      <c r="Z652" s="2"/>
      <c r="AA652" s="2"/>
      <c r="AB652" s="2"/>
    </row>
    <row r="653" spans="1:28" ht="13">
      <c r="A653" s="2"/>
      <c r="B653" s="2"/>
      <c r="C653" s="2"/>
      <c r="D653" s="2"/>
      <c r="E653" s="2"/>
      <c r="F653" s="2"/>
      <c r="G653" s="43"/>
      <c r="H653" s="2"/>
      <c r="I653" s="2"/>
      <c r="J653" s="2"/>
      <c r="K653" s="2"/>
      <c r="L653" s="2"/>
      <c r="M653" s="2"/>
      <c r="N653" s="2"/>
      <c r="O653" s="2"/>
      <c r="P653" s="2"/>
      <c r="Q653" s="2"/>
      <c r="R653" s="2"/>
      <c r="S653" s="2"/>
      <c r="T653" s="2"/>
      <c r="U653" s="2"/>
      <c r="V653" s="2"/>
      <c r="W653" s="2"/>
      <c r="X653" s="2"/>
      <c r="Y653" s="2"/>
      <c r="Z653" s="2"/>
      <c r="AA653" s="2"/>
      <c r="AB653" s="2"/>
    </row>
    <row r="654" spans="1:28" ht="13">
      <c r="A654" s="2"/>
      <c r="B654" s="2"/>
      <c r="C654" s="2"/>
      <c r="D654" s="2"/>
      <c r="E654" s="2"/>
      <c r="F654" s="2"/>
      <c r="G654" s="43"/>
      <c r="H654" s="2"/>
      <c r="I654" s="2"/>
      <c r="J654" s="2"/>
      <c r="K654" s="2"/>
      <c r="L654" s="2"/>
      <c r="M654" s="2"/>
      <c r="N654" s="2"/>
      <c r="O654" s="2"/>
      <c r="P654" s="2"/>
      <c r="Q654" s="2"/>
      <c r="R654" s="2"/>
      <c r="S654" s="2"/>
      <c r="T654" s="2"/>
      <c r="U654" s="2"/>
      <c r="V654" s="2"/>
      <c r="W654" s="2"/>
      <c r="X654" s="2"/>
      <c r="Y654" s="2"/>
      <c r="Z654" s="2"/>
      <c r="AA654" s="2"/>
      <c r="AB654" s="2"/>
    </row>
    <row r="655" spans="1:28" ht="13">
      <c r="A655" s="2"/>
      <c r="B655" s="2"/>
      <c r="C655" s="2"/>
      <c r="D655" s="2"/>
      <c r="E655" s="2"/>
      <c r="F655" s="2"/>
      <c r="G655" s="43"/>
      <c r="H655" s="2"/>
      <c r="I655" s="2"/>
      <c r="J655" s="2"/>
      <c r="K655" s="2"/>
      <c r="L655" s="2"/>
      <c r="M655" s="2"/>
      <c r="N655" s="2"/>
      <c r="O655" s="2"/>
      <c r="P655" s="2"/>
      <c r="Q655" s="2"/>
      <c r="R655" s="2"/>
      <c r="S655" s="2"/>
      <c r="T655" s="2"/>
      <c r="U655" s="2"/>
      <c r="V655" s="2"/>
      <c r="W655" s="2"/>
      <c r="X655" s="2"/>
      <c r="Y655" s="2"/>
      <c r="Z655" s="2"/>
      <c r="AA655" s="2"/>
      <c r="AB655" s="2"/>
    </row>
    <row r="656" spans="1:28" ht="13">
      <c r="A656" s="2"/>
      <c r="B656" s="2"/>
      <c r="C656" s="2"/>
      <c r="D656" s="2"/>
      <c r="E656" s="2"/>
      <c r="F656" s="2"/>
      <c r="G656" s="43"/>
      <c r="H656" s="2"/>
      <c r="I656" s="2"/>
      <c r="J656" s="2"/>
      <c r="K656" s="2"/>
      <c r="L656" s="2"/>
      <c r="M656" s="2"/>
      <c r="N656" s="2"/>
      <c r="O656" s="2"/>
      <c r="P656" s="2"/>
      <c r="Q656" s="2"/>
      <c r="R656" s="2"/>
      <c r="S656" s="2"/>
      <c r="T656" s="2"/>
      <c r="U656" s="2"/>
      <c r="V656" s="2"/>
      <c r="W656" s="2"/>
      <c r="X656" s="2"/>
      <c r="Y656" s="2"/>
      <c r="Z656" s="2"/>
      <c r="AA656" s="2"/>
      <c r="AB656" s="2"/>
    </row>
    <row r="657" spans="1:28" ht="13">
      <c r="A657" s="2"/>
      <c r="B657" s="2"/>
      <c r="C657" s="2"/>
      <c r="D657" s="2"/>
      <c r="E657" s="2"/>
      <c r="F657" s="2"/>
      <c r="G657" s="43"/>
      <c r="H657" s="2"/>
      <c r="I657" s="2"/>
      <c r="J657" s="2"/>
      <c r="K657" s="2"/>
      <c r="L657" s="2"/>
      <c r="M657" s="2"/>
      <c r="N657" s="2"/>
      <c r="O657" s="2"/>
      <c r="P657" s="2"/>
      <c r="Q657" s="2"/>
      <c r="R657" s="2"/>
      <c r="S657" s="2"/>
      <c r="T657" s="2"/>
      <c r="U657" s="2"/>
      <c r="V657" s="2"/>
      <c r="W657" s="2"/>
      <c r="X657" s="2"/>
      <c r="Y657" s="2"/>
      <c r="Z657" s="2"/>
      <c r="AA657" s="2"/>
      <c r="AB657" s="2"/>
    </row>
    <row r="658" spans="1:28" ht="13">
      <c r="A658" s="2"/>
      <c r="B658" s="2"/>
      <c r="C658" s="2"/>
      <c r="D658" s="2"/>
      <c r="E658" s="2"/>
      <c r="F658" s="2"/>
      <c r="G658" s="43"/>
      <c r="H658" s="2"/>
      <c r="I658" s="2"/>
      <c r="J658" s="2"/>
      <c r="K658" s="2"/>
      <c r="L658" s="2"/>
      <c r="M658" s="2"/>
      <c r="N658" s="2"/>
      <c r="O658" s="2"/>
      <c r="P658" s="2"/>
      <c r="Q658" s="2"/>
      <c r="R658" s="2"/>
      <c r="S658" s="2"/>
      <c r="T658" s="2"/>
      <c r="U658" s="2"/>
      <c r="V658" s="2"/>
      <c r="W658" s="2"/>
      <c r="X658" s="2"/>
      <c r="Y658" s="2"/>
      <c r="Z658" s="2"/>
      <c r="AA658" s="2"/>
      <c r="AB658" s="2"/>
    </row>
    <row r="659" spans="1:28" ht="13">
      <c r="A659" s="2"/>
      <c r="B659" s="2"/>
      <c r="C659" s="2"/>
      <c r="D659" s="2"/>
      <c r="E659" s="2"/>
      <c r="F659" s="2"/>
      <c r="G659" s="43"/>
      <c r="H659" s="2"/>
      <c r="I659" s="2"/>
      <c r="J659" s="2"/>
      <c r="K659" s="2"/>
      <c r="L659" s="2"/>
      <c r="M659" s="2"/>
      <c r="N659" s="2"/>
      <c r="O659" s="2"/>
      <c r="P659" s="2"/>
      <c r="Q659" s="2"/>
      <c r="R659" s="2"/>
      <c r="S659" s="2"/>
      <c r="T659" s="2"/>
      <c r="U659" s="2"/>
      <c r="V659" s="2"/>
      <c r="W659" s="2"/>
      <c r="X659" s="2"/>
      <c r="Y659" s="2"/>
      <c r="Z659" s="2"/>
      <c r="AA659" s="2"/>
      <c r="AB659" s="2"/>
    </row>
    <row r="660" spans="1:28" ht="13">
      <c r="A660" s="2"/>
      <c r="B660" s="2"/>
      <c r="C660" s="2"/>
      <c r="D660" s="2"/>
      <c r="E660" s="2"/>
      <c r="F660" s="2"/>
      <c r="G660" s="43"/>
      <c r="H660" s="2"/>
      <c r="I660" s="2"/>
      <c r="J660" s="2"/>
      <c r="K660" s="2"/>
      <c r="L660" s="2"/>
      <c r="M660" s="2"/>
      <c r="N660" s="2"/>
      <c r="O660" s="2"/>
      <c r="P660" s="2"/>
      <c r="Q660" s="2"/>
      <c r="R660" s="2"/>
      <c r="S660" s="2"/>
      <c r="T660" s="2"/>
      <c r="U660" s="2"/>
      <c r="V660" s="2"/>
      <c r="W660" s="2"/>
      <c r="X660" s="2"/>
      <c r="Y660" s="2"/>
      <c r="Z660" s="2"/>
      <c r="AA660" s="2"/>
      <c r="AB660" s="2"/>
    </row>
    <row r="661" spans="1:28" ht="13">
      <c r="A661" s="2"/>
      <c r="B661" s="2"/>
      <c r="C661" s="2"/>
      <c r="D661" s="2"/>
      <c r="E661" s="2"/>
      <c r="F661" s="2"/>
      <c r="G661" s="43"/>
      <c r="H661" s="2"/>
      <c r="I661" s="2"/>
      <c r="J661" s="2"/>
      <c r="K661" s="2"/>
      <c r="L661" s="2"/>
      <c r="M661" s="2"/>
      <c r="N661" s="2"/>
      <c r="O661" s="2"/>
      <c r="P661" s="2"/>
      <c r="Q661" s="2"/>
      <c r="R661" s="2"/>
      <c r="S661" s="2"/>
      <c r="T661" s="2"/>
      <c r="U661" s="2"/>
      <c r="V661" s="2"/>
      <c r="W661" s="2"/>
      <c r="X661" s="2"/>
      <c r="Y661" s="2"/>
      <c r="Z661" s="2"/>
      <c r="AA661" s="2"/>
      <c r="AB661" s="2"/>
    </row>
    <row r="662" spans="1:28" ht="13">
      <c r="A662" s="2"/>
      <c r="B662" s="2"/>
      <c r="C662" s="2"/>
      <c r="D662" s="2"/>
      <c r="E662" s="2"/>
      <c r="F662" s="2"/>
      <c r="G662" s="43"/>
      <c r="H662" s="2"/>
      <c r="I662" s="2"/>
      <c r="J662" s="2"/>
      <c r="K662" s="2"/>
      <c r="L662" s="2"/>
      <c r="M662" s="2"/>
      <c r="N662" s="2"/>
      <c r="O662" s="2"/>
      <c r="P662" s="2"/>
      <c r="Q662" s="2"/>
      <c r="R662" s="2"/>
      <c r="S662" s="2"/>
      <c r="T662" s="2"/>
      <c r="U662" s="2"/>
      <c r="V662" s="2"/>
      <c r="W662" s="2"/>
      <c r="X662" s="2"/>
      <c r="Y662" s="2"/>
      <c r="Z662" s="2"/>
      <c r="AA662" s="2"/>
      <c r="AB662" s="2"/>
    </row>
    <row r="663" spans="1:28" ht="13">
      <c r="A663" s="2"/>
      <c r="B663" s="2"/>
      <c r="C663" s="2"/>
      <c r="D663" s="2"/>
      <c r="E663" s="2"/>
      <c r="F663" s="2"/>
      <c r="G663" s="43"/>
      <c r="H663" s="2"/>
      <c r="I663" s="2"/>
      <c r="J663" s="2"/>
      <c r="K663" s="2"/>
      <c r="L663" s="2"/>
      <c r="M663" s="2"/>
      <c r="N663" s="2"/>
      <c r="O663" s="2"/>
      <c r="P663" s="2"/>
      <c r="Q663" s="2"/>
      <c r="R663" s="2"/>
      <c r="S663" s="2"/>
      <c r="T663" s="2"/>
      <c r="U663" s="2"/>
      <c r="V663" s="2"/>
      <c r="W663" s="2"/>
      <c r="X663" s="2"/>
      <c r="Y663" s="2"/>
      <c r="Z663" s="2"/>
      <c r="AA663" s="2"/>
      <c r="AB663" s="2"/>
    </row>
    <row r="664" spans="1:28" ht="13">
      <c r="A664" s="2"/>
      <c r="B664" s="2"/>
      <c r="C664" s="2"/>
      <c r="D664" s="2"/>
      <c r="E664" s="2"/>
      <c r="F664" s="2"/>
      <c r="G664" s="43"/>
      <c r="H664" s="2"/>
      <c r="I664" s="2"/>
      <c r="J664" s="2"/>
      <c r="K664" s="2"/>
      <c r="L664" s="2"/>
      <c r="M664" s="2"/>
      <c r="N664" s="2"/>
      <c r="O664" s="2"/>
      <c r="P664" s="2"/>
      <c r="Q664" s="2"/>
      <c r="R664" s="2"/>
      <c r="S664" s="2"/>
      <c r="T664" s="2"/>
      <c r="U664" s="2"/>
      <c r="V664" s="2"/>
      <c r="W664" s="2"/>
      <c r="X664" s="2"/>
      <c r="Y664" s="2"/>
      <c r="Z664" s="2"/>
      <c r="AA664" s="2"/>
      <c r="AB664" s="2"/>
    </row>
    <row r="665" spans="1:28" ht="13">
      <c r="A665" s="2"/>
      <c r="B665" s="2"/>
      <c r="C665" s="2"/>
      <c r="D665" s="2"/>
      <c r="E665" s="2"/>
      <c r="F665" s="2"/>
      <c r="G665" s="43"/>
      <c r="H665" s="2"/>
      <c r="I665" s="2"/>
      <c r="J665" s="2"/>
      <c r="K665" s="2"/>
      <c r="L665" s="2"/>
      <c r="M665" s="2"/>
      <c r="N665" s="2"/>
      <c r="O665" s="2"/>
      <c r="P665" s="2"/>
      <c r="Q665" s="2"/>
      <c r="R665" s="2"/>
      <c r="S665" s="2"/>
      <c r="T665" s="2"/>
      <c r="U665" s="2"/>
      <c r="V665" s="2"/>
      <c r="W665" s="2"/>
      <c r="X665" s="2"/>
      <c r="Y665" s="2"/>
      <c r="Z665" s="2"/>
      <c r="AA665" s="2"/>
      <c r="AB665" s="2"/>
    </row>
    <row r="666" spans="1:28" ht="13">
      <c r="A666" s="2"/>
      <c r="B666" s="2"/>
      <c r="C666" s="2"/>
      <c r="D666" s="2"/>
      <c r="E666" s="2"/>
      <c r="F666" s="2"/>
      <c r="G666" s="43"/>
      <c r="H666" s="2"/>
      <c r="I666" s="2"/>
      <c r="J666" s="2"/>
      <c r="K666" s="2"/>
      <c r="L666" s="2"/>
      <c r="M666" s="2"/>
      <c r="N666" s="2"/>
      <c r="O666" s="2"/>
      <c r="P666" s="2"/>
      <c r="Q666" s="2"/>
      <c r="R666" s="2"/>
      <c r="S666" s="2"/>
      <c r="T666" s="2"/>
      <c r="U666" s="2"/>
      <c r="V666" s="2"/>
      <c r="W666" s="2"/>
      <c r="X666" s="2"/>
      <c r="Y666" s="2"/>
      <c r="Z666" s="2"/>
      <c r="AA666" s="2"/>
      <c r="AB666" s="2"/>
    </row>
    <row r="667" spans="1:28" ht="13">
      <c r="A667" s="2"/>
      <c r="B667" s="2"/>
      <c r="C667" s="2"/>
      <c r="D667" s="2"/>
      <c r="E667" s="2"/>
      <c r="F667" s="2"/>
      <c r="G667" s="43"/>
      <c r="H667" s="2"/>
      <c r="I667" s="2"/>
      <c r="J667" s="2"/>
      <c r="K667" s="2"/>
      <c r="L667" s="2"/>
      <c r="M667" s="2"/>
      <c r="N667" s="2"/>
      <c r="O667" s="2"/>
      <c r="P667" s="2"/>
      <c r="Q667" s="2"/>
      <c r="R667" s="2"/>
      <c r="S667" s="2"/>
      <c r="T667" s="2"/>
      <c r="U667" s="2"/>
      <c r="V667" s="2"/>
      <c r="W667" s="2"/>
      <c r="X667" s="2"/>
      <c r="Y667" s="2"/>
      <c r="Z667" s="2"/>
      <c r="AA667" s="2"/>
      <c r="AB667" s="2"/>
    </row>
    <row r="668" spans="1:28" ht="13">
      <c r="A668" s="2"/>
      <c r="B668" s="2"/>
      <c r="C668" s="2"/>
      <c r="D668" s="2"/>
      <c r="E668" s="2"/>
      <c r="F668" s="2"/>
      <c r="G668" s="43"/>
      <c r="H668" s="2"/>
      <c r="I668" s="2"/>
      <c r="J668" s="2"/>
      <c r="K668" s="2"/>
      <c r="L668" s="2"/>
      <c r="M668" s="2"/>
      <c r="N668" s="2"/>
      <c r="O668" s="2"/>
      <c r="P668" s="2"/>
      <c r="Q668" s="2"/>
      <c r="R668" s="2"/>
      <c r="S668" s="2"/>
      <c r="T668" s="2"/>
      <c r="U668" s="2"/>
      <c r="V668" s="2"/>
      <c r="W668" s="2"/>
      <c r="X668" s="2"/>
      <c r="Y668" s="2"/>
      <c r="Z668" s="2"/>
      <c r="AA668" s="2"/>
      <c r="AB668" s="2"/>
    </row>
    <row r="669" spans="1:28" ht="13">
      <c r="A669" s="2"/>
      <c r="B669" s="2"/>
      <c r="C669" s="2"/>
      <c r="D669" s="2"/>
      <c r="E669" s="2"/>
      <c r="F669" s="2"/>
      <c r="G669" s="43"/>
      <c r="H669" s="2"/>
      <c r="I669" s="2"/>
      <c r="J669" s="2"/>
      <c r="K669" s="2"/>
      <c r="L669" s="2"/>
      <c r="M669" s="2"/>
      <c r="N669" s="2"/>
      <c r="O669" s="2"/>
      <c r="P669" s="2"/>
      <c r="Q669" s="2"/>
      <c r="R669" s="2"/>
      <c r="S669" s="2"/>
      <c r="T669" s="2"/>
      <c r="U669" s="2"/>
      <c r="V669" s="2"/>
      <c r="W669" s="2"/>
      <c r="X669" s="2"/>
      <c r="Y669" s="2"/>
      <c r="Z669" s="2"/>
      <c r="AA669" s="2"/>
      <c r="AB669" s="2"/>
    </row>
    <row r="670" spans="1:28" ht="13">
      <c r="A670" s="2"/>
      <c r="B670" s="2"/>
      <c r="C670" s="2"/>
      <c r="D670" s="2"/>
      <c r="E670" s="2"/>
      <c r="F670" s="2"/>
      <c r="G670" s="43"/>
      <c r="H670" s="2"/>
      <c r="I670" s="2"/>
      <c r="J670" s="2"/>
      <c r="K670" s="2"/>
      <c r="L670" s="2"/>
      <c r="M670" s="2"/>
      <c r="N670" s="2"/>
      <c r="O670" s="2"/>
      <c r="P670" s="2"/>
      <c r="Q670" s="2"/>
      <c r="R670" s="2"/>
      <c r="S670" s="2"/>
      <c r="T670" s="2"/>
      <c r="U670" s="2"/>
      <c r="V670" s="2"/>
      <c r="W670" s="2"/>
      <c r="X670" s="2"/>
      <c r="Y670" s="2"/>
      <c r="Z670" s="2"/>
      <c r="AA670" s="2"/>
      <c r="AB670" s="2"/>
    </row>
    <row r="671" spans="1:28" ht="13">
      <c r="A671" s="2"/>
      <c r="B671" s="2"/>
      <c r="C671" s="2"/>
      <c r="D671" s="2"/>
      <c r="E671" s="2"/>
      <c r="F671" s="2"/>
      <c r="G671" s="43"/>
      <c r="H671" s="2"/>
      <c r="I671" s="2"/>
      <c r="J671" s="2"/>
      <c r="K671" s="2"/>
      <c r="L671" s="2"/>
      <c r="M671" s="2"/>
      <c r="N671" s="2"/>
      <c r="O671" s="2"/>
      <c r="P671" s="2"/>
      <c r="Q671" s="2"/>
      <c r="R671" s="2"/>
      <c r="S671" s="2"/>
      <c r="T671" s="2"/>
      <c r="U671" s="2"/>
      <c r="V671" s="2"/>
      <c r="W671" s="2"/>
      <c r="X671" s="2"/>
      <c r="Y671" s="2"/>
      <c r="Z671" s="2"/>
      <c r="AA671" s="2"/>
      <c r="AB671" s="2"/>
    </row>
    <row r="672" spans="1:28" ht="13">
      <c r="A672" s="2"/>
      <c r="B672" s="2"/>
      <c r="C672" s="2"/>
      <c r="D672" s="2"/>
      <c r="E672" s="2"/>
      <c r="F672" s="2"/>
      <c r="G672" s="43"/>
      <c r="H672" s="2"/>
      <c r="I672" s="2"/>
      <c r="J672" s="2"/>
      <c r="K672" s="2"/>
      <c r="L672" s="2"/>
      <c r="M672" s="2"/>
      <c r="N672" s="2"/>
      <c r="O672" s="2"/>
      <c r="P672" s="2"/>
      <c r="Q672" s="2"/>
      <c r="R672" s="2"/>
      <c r="S672" s="2"/>
      <c r="T672" s="2"/>
      <c r="U672" s="2"/>
      <c r="V672" s="2"/>
      <c r="W672" s="2"/>
      <c r="X672" s="2"/>
      <c r="Y672" s="2"/>
      <c r="Z672" s="2"/>
      <c r="AA672" s="2"/>
      <c r="AB672" s="2"/>
    </row>
    <row r="673" spans="1:28" ht="13">
      <c r="A673" s="2"/>
      <c r="B673" s="2"/>
      <c r="C673" s="2"/>
      <c r="D673" s="2"/>
      <c r="E673" s="2"/>
      <c r="F673" s="2"/>
      <c r="G673" s="43"/>
      <c r="H673" s="2"/>
      <c r="I673" s="2"/>
      <c r="J673" s="2"/>
      <c r="K673" s="2"/>
      <c r="L673" s="2"/>
      <c r="M673" s="2"/>
      <c r="N673" s="2"/>
      <c r="O673" s="2"/>
      <c r="P673" s="2"/>
      <c r="Q673" s="2"/>
      <c r="R673" s="2"/>
      <c r="S673" s="2"/>
      <c r="T673" s="2"/>
      <c r="U673" s="2"/>
      <c r="V673" s="2"/>
      <c r="W673" s="2"/>
      <c r="X673" s="2"/>
      <c r="Y673" s="2"/>
      <c r="Z673" s="2"/>
      <c r="AA673" s="2"/>
      <c r="AB673" s="2"/>
    </row>
    <row r="674" spans="1:28" ht="13">
      <c r="A674" s="2"/>
      <c r="B674" s="2"/>
      <c r="C674" s="2"/>
      <c r="D674" s="2"/>
      <c r="E674" s="2"/>
      <c r="F674" s="2"/>
      <c r="G674" s="43"/>
      <c r="H674" s="2"/>
      <c r="I674" s="2"/>
      <c r="J674" s="2"/>
      <c r="K674" s="2"/>
      <c r="L674" s="2"/>
      <c r="M674" s="2"/>
      <c r="N674" s="2"/>
      <c r="O674" s="2"/>
      <c r="P674" s="2"/>
      <c r="Q674" s="2"/>
      <c r="R674" s="2"/>
      <c r="S674" s="2"/>
      <c r="T674" s="2"/>
      <c r="U674" s="2"/>
      <c r="V674" s="2"/>
      <c r="W674" s="2"/>
      <c r="X674" s="2"/>
      <c r="Y674" s="2"/>
      <c r="Z674" s="2"/>
      <c r="AA674" s="2"/>
      <c r="AB674" s="2"/>
    </row>
    <row r="675" spans="1:28" ht="13">
      <c r="A675" s="2"/>
      <c r="B675" s="2"/>
      <c r="C675" s="2"/>
      <c r="D675" s="2"/>
      <c r="E675" s="2"/>
      <c r="F675" s="2"/>
      <c r="G675" s="43"/>
      <c r="H675" s="2"/>
      <c r="I675" s="2"/>
      <c r="J675" s="2"/>
      <c r="K675" s="2"/>
      <c r="L675" s="2"/>
      <c r="M675" s="2"/>
      <c r="N675" s="2"/>
      <c r="O675" s="2"/>
      <c r="P675" s="2"/>
      <c r="Q675" s="2"/>
      <c r="R675" s="2"/>
      <c r="S675" s="2"/>
      <c r="T675" s="2"/>
      <c r="U675" s="2"/>
      <c r="V675" s="2"/>
      <c r="W675" s="2"/>
      <c r="X675" s="2"/>
      <c r="Y675" s="2"/>
      <c r="Z675" s="2"/>
      <c r="AA675" s="2"/>
      <c r="AB675" s="2"/>
    </row>
    <row r="676" spans="1:28" ht="13">
      <c r="A676" s="2"/>
      <c r="B676" s="2"/>
      <c r="C676" s="2"/>
      <c r="D676" s="2"/>
      <c r="E676" s="2"/>
      <c r="F676" s="2"/>
      <c r="G676" s="43"/>
      <c r="H676" s="2"/>
      <c r="I676" s="2"/>
      <c r="J676" s="2"/>
      <c r="K676" s="2"/>
      <c r="L676" s="2"/>
      <c r="M676" s="2"/>
      <c r="N676" s="2"/>
      <c r="O676" s="2"/>
      <c r="P676" s="2"/>
      <c r="Q676" s="2"/>
      <c r="R676" s="2"/>
      <c r="S676" s="2"/>
      <c r="T676" s="2"/>
      <c r="U676" s="2"/>
      <c r="V676" s="2"/>
      <c r="W676" s="2"/>
      <c r="X676" s="2"/>
      <c r="Y676" s="2"/>
      <c r="Z676" s="2"/>
      <c r="AA676" s="2"/>
      <c r="AB676" s="2"/>
    </row>
    <row r="677" spans="1:28" ht="13">
      <c r="A677" s="2"/>
      <c r="B677" s="2"/>
      <c r="C677" s="2"/>
      <c r="D677" s="2"/>
      <c r="E677" s="2"/>
      <c r="F677" s="2"/>
      <c r="G677" s="43"/>
      <c r="H677" s="2"/>
      <c r="I677" s="2"/>
      <c r="J677" s="2"/>
      <c r="K677" s="2"/>
      <c r="L677" s="2"/>
      <c r="M677" s="2"/>
      <c r="N677" s="2"/>
      <c r="O677" s="2"/>
      <c r="P677" s="2"/>
      <c r="Q677" s="2"/>
      <c r="R677" s="2"/>
      <c r="S677" s="2"/>
      <c r="T677" s="2"/>
      <c r="U677" s="2"/>
      <c r="V677" s="2"/>
      <c r="W677" s="2"/>
      <c r="X677" s="2"/>
      <c r="Y677" s="2"/>
      <c r="Z677" s="2"/>
      <c r="AA677" s="2"/>
      <c r="AB677" s="2"/>
    </row>
    <row r="678" spans="1:28" ht="13">
      <c r="A678" s="2"/>
      <c r="B678" s="2"/>
      <c r="C678" s="2"/>
      <c r="D678" s="2"/>
      <c r="E678" s="2"/>
      <c r="F678" s="2"/>
      <c r="G678" s="43"/>
      <c r="H678" s="2"/>
      <c r="I678" s="2"/>
      <c r="J678" s="2"/>
      <c r="K678" s="2"/>
      <c r="L678" s="2"/>
      <c r="M678" s="2"/>
      <c r="N678" s="2"/>
      <c r="O678" s="2"/>
      <c r="P678" s="2"/>
      <c r="Q678" s="2"/>
      <c r="R678" s="2"/>
      <c r="S678" s="2"/>
      <c r="T678" s="2"/>
      <c r="U678" s="2"/>
      <c r="V678" s="2"/>
      <c r="W678" s="2"/>
      <c r="X678" s="2"/>
      <c r="Y678" s="2"/>
      <c r="Z678" s="2"/>
      <c r="AA678" s="2"/>
      <c r="AB678" s="2"/>
    </row>
    <row r="679" spans="1:28" ht="13">
      <c r="A679" s="2"/>
      <c r="B679" s="2"/>
      <c r="C679" s="2"/>
      <c r="D679" s="2"/>
      <c r="E679" s="2"/>
      <c r="F679" s="2"/>
      <c r="G679" s="43"/>
      <c r="H679" s="2"/>
      <c r="I679" s="2"/>
      <c r="J679" s="2"/>
      <c r="K679" s="2"/>
      <c r="L679" s="2"/>
      <c r="M679" s="2"/>
      <c r="N679" s="2"/>
      <c r="O679" s="2"/>
      <c r="P679" s="2"/>
      <c r="Q679" s="2"/>
      <c r="R679" s="2"/>
      <c r="S679" s="2"/>
      <c r="T679" s="2"/>
      <c r="U679" s="2"/>
      <c r="V679" s="2"/>
      <c r="W679" s="2"/>
      <c r="X679" s="2"/>
      <c r="Y679" s="2"/>
      <c r="Z679" s="2"/>
      <c r="AA679" s="2"/>
      <c r="AB679" s="2"/>
    </row>
    <row r="680" spans="1:28" ht="13">
      <c r="A680" s="2"/>
      <c r="B680" s="2"/>
      <c r="C680" s="2"/>
      <c r="D680" s="2"/>
      <c r="E680" s="2"/>
      <c r="F680" s="2"/>
      <c r="G680" s="43"/>
      <c r="H680" s="2"/>
      <c r="I680" s="2"/>
      <c r="J680" s="2"/>
      <c r="K680" s="2"/>
      <c r="L680" s="2"/>
      <c r="M680" s="2"/>
      <c r="N680" s="2"/>
      <c r="O680" s="2"/>
      <c r="P680" s="2"/>
      <c r="Q680" s="2"/>
      <c r="R680" s="2"/>
      <c r="S680" s="2"/>
      <c r="T680" s="2"/>
      <c r="U680" s="2"/>
      <c r="V680" s="2"/>
      <c r="W680" s="2"/>
      <c r="X680" s="2"/>
      <c r="Y680" s="2"/>
      <c r="Z680" s="2"/>
      <c r="AA680" s="2"/>
      <c r="AB680" s="2"/>
    </row>
    <row r="681" spans="1:28" ht="13">
      <c r="A681" s="2"/>
      <c r="B681" s="2"/>
      <c r="C681" s="2"/>
      <c r="D681" s="2"/>
      <c r="E681" s="2"/>
      <c r="F681" s="2"/>
      <c r="G681" s="43"/>
      <c r="H681" s="2"/>
      <c r="I681" s="2"/>
      <c r="J681" s="2"/>
      <c r="K681" s="2"/>
      <c r="L681" s="2"/>
      <c r="M681" s="2"/>
      <c r="N681" s="2"/>
      <c r="O681" s="2"/>
      <c r="P681" s="2"/>
      <c r="Q681" s="2"/>
      <c r="R681" s="2"/>
      <c r="S681" s="2"/>
      <c r="T681" s="2"/>
      <c r="U681" s="2"/>
      <c r="V681" s="2"/>
      <c r="W681" s="2"/>
      <c r="X681" s="2"/>
      <c r="Y681" s="2"/>
      <c r="Z681" s="2"/>
      <c r="AA681" s="2"/>
      <c r="AB681" s="2"/>
    </row>
    <row r="682" spans="1:28" ht="13">
      <c r="A682" s="2"/>
      <c r="B682" s="2"/>
      <c r="C682" s="2"/>
      <c r="D682" s="2"/>
      <c r="E682" s="2"/>
      <c r="F682" s="2"/>
      <c r="G682" s="43"/>
      <c r="H682" s="2"/>
      <c r="I682" s="2"/>
      <c r="J682" s="2"/>
      <c r="K682" s="2"/>
      <c r="L682" s="2"/>
      <c r="M682" s="2"/>
      <c r="N682" s="2"/>
      <c r="O682" s="2"/>
      <c r="P682" s="2"/>
      <c r="Q682" s="2"/>
      <c r="R682" s="2"/>
      <c r="S682" s="2"/>
      <c r="T682" s="2"/>
      <c r="U682" s="2"/>
      <c r="V682" s="2"/>
      <c r="W682" s="2"/>
      <c r="X682" s="2"/>
      <c r="Y682" s="2"/>
      <c r="Z682" s="2"/>
      <c r="AA682" s="2"/>
      <c r="AB682" s="2"/>
    </row>
    <row r="683" spans="1:28" ht="13">
      <c r="A683" s="2"/>
      <c r="B683" s="2"/>
      <c r="C683" s="2"/>
      <c r="D683" s="2"/>
      <c r="E683" s="2"/>
      <c r="F683" s="2"/>
      <c r="G683" s="43"/>
      <c r="H683" s="2"/>
      <c r="I683" s="2"/>
      <c r="J683" s="2"/>
      <c r="K683" s="2"/>
      <c r="L683" s="2"/>
      <c r="M683" s="2"/>
      <c r="N683" s="2"/>
      <c r="O683" s="2"/>
      <c r="P683" s="2"/>
      <c r="Q683" s="2"/>
      <c r="R683" s="2"/>
      <c r="S683" s="2"/>
      <c r="T683" s="2"/>
      <c r="U683" s="2"/>
      <c r="V683" s="2"/>
      <c r="W683" s="2"/>
      <c r="X683" s="2"/>
      <c r="Y683" s="2"/>
      <c r="Z683" s="2"/>
      <c r="AA683" s="2"/>
      <c r="AB683" s="2"/>
    </row>
    <row r="684" spans="1:28" ht="13">
      <c r="A684" s="2"/>
      <c r="B684" s="2"/>
      <c r="C684" s="2"/>
      <c r="D684" s="2"/>
      <c r="E684" s="2"/>
      <c r="F684" s="2"/>
      <c r="G684" s="43"/>
      <c r="H684" s="2"/>
      <c r="I684" s="2"/>
      <c r="J684" s="2"/>
      <c r="K684" s="2"/>
      <c r="L684" s="2"/>
      <c r="M684" s="2"/>
      <c r="N684" s="2"/>
      <c r="O684" s="2"/>
      <c r="P684" s="2"/>
      <c r="Q684" s="2"/>
      <c r="R684" s="2"/>
      <c r="S684" s="2"/>
      <c r="T684" s="2"/>
      <c r="U684" s="2"/>
      <c r="V684" s="2"/>
      <c r="W684" s="2"/>
      <c r="X684" s="2"/>
      <c r="Y684" s="2"/>
      <c r="Z684" s="2"/>
      <c r="AA684" s="2"/>
      <c r="AB684" s="2"/>
    </row>
    <row r="685" spans="1:28" ht="13">
      <c r="A685" s="2"/>
      <c r="B685" s="2"/>
      <c r="C685" s="2"/>
      <c r="D685" s="2"/>
      <c r="E685" s="2"/>
      <c r="F685" s="2"/>
      <c r="G685" s="43"/>
      <c r="H685" s="2"/>
      <c r="I685" s="2"/>
      <c r="J685" s="2"/>
      <c r="K685" s="2"/>
      <c r="L685" s="2"/>
      <c r="M685" s="2"/>
      <c r="N685" s="2"/>
      <c r="O685" s="2"/>
      <c r="P685" s="2"/>
      <c r="Q685" s="2"/>
      <c r="R685" s="2"/>
      <c r="S685" s="2"/>
      <c r="T685" s="2"/>
      <c r="U685" s="2"/>
      <c r="V685" s="2"/>
      <c r="W685" s="2"/>
      <c r="X685" s="2"/>
      <c r="Y685" s="2"/>
      <c r="Z685" s="2"/>
      <c r="AA685" s="2"/>
      <c r="AB685" s="2"/>
    </row>
    <row r="686" spans="1:28" ht="13">
      <c r="A686" s="2"/>
      <c r="B686" s="2"/>
      <c r="C686" s="2"/>
      <c r="D686" s="2"/>
      <c r="E686" s="2"/>
      <c r="F686" s="2"/>
      <c r="G686" s="43"/>
      <c r="H686" s="2"/>
      <c r="I686" s="2"/>
      <c r="J686" s="2"/>
      <c r="K686" s="2"/>
      <c r="L686" s="2"/>
      <c r="M686" s="2"/>
      <c r="N686" s="2"/>
      <c r="O686" s="2"/>
      <c r="P686" s="2"/>
      <c r="Q686" s="2"/>
      <c r="R686" s="2"/>
      <c r="S686" s="2"/>
      <c r="T686" s="2"/>
      <c r="U686" s="2"/>
      <c r="V686" s="2"/>
      <c r="W686" s="2"/>
      <c r="X686" s="2"/>
      <c r="Y686" s="2"/>
      <c r="Z686" s="2"/>
      <c r="AA686" s="2"/>
      <c r="AB686" s="2"/>
    </row>
    <row r="687" spans="1:28" ht="13">
      <c r="A687" s="2"/>
      <c r="B687" s="2"/>
      <c r="C687" s="2"/>
      <c r="D687" s="2"/>
      <c r="E687" s="2"/>
      <c r="F687" s="2"/>
      <c r="G687" s="43"/>
      <c r="H687" s="2"/>
      <c r="I687" s="2"/>
      <c r="J687" s="2"/>
      <c r="K687" s="2"/>
      <c r="L687" s="2"/>
      <c r="M687" s="2"/>
      <c r="N687" s="2"/>
      <c r="O687" s="2"/>
      <c r="P687" s="2"/>
      <c r="Q687" s="2"/>
      <c r="R687" s="2"/>
      <c r="S687" s="2"/>
      <c r="T687" s="2"/>
      <c r="U687" s="2"/>
      <c r="V687" s="2"/>
      <c r="W687" s="2"/>
      <c r="X687" s="2"/>
      <c r="Y687" s="2"/>
      <c r="Z687" s="2"/>
      <c r="AA687" s="2"/>
      <c r="AB687" s="2"/>
    </row>
    <row r="688" spans="1:28" ht="13">
      <c r="A688" s="2"/>
      <c r="B688" s="2"/>
      <c r="C688" s="2"/>
      <c r="D688" s="2"/>
      <c r="E688" s="2"/>
      <c r="F688" s="2"/>
      <c r="G688" s="43"/>
      <c r="H688" s="2"/>
      <c r="I688" s="2"/>
      <c r="J688" s="2"/>
      <c r="K688" s="2"/>
      <c r="L688" s="2"/>
      <c r="M688" s="2"/>
      <c r="N688" s="2"/>
      <c r="O688" s="2"/>
      <c r="P688" s="2"/>
      <c r="Q688" s="2"/>
      <c r="R688" s="2"/>
      <c r="S688" s="2"/>
      <c r="T688" s="2"/>
      <c r="U688" s="2"/>
      <c r="V688" s="2"/>
      <c r="W688" s="2"/>
      <c r="X688" s="2"/>
      <c r="Y688" s="2"/>
      <c r="Z688" s="2"/>
      <c r="AA688" s="2"/>
      <c r="AB688" s="2"/>
    </row>
    <row r="689" spans="1:28" ht="13">
      <c r="A689" s="2"/>
      <c r="B689" s="2"/>
      <c r="C689" s="2"/>
      <c r="D689" s="2"/>
      <c r="E689" s="2"/>
      <c r="F689" s="2"/>
      <c r="G689" s="43"/>
      <c r="H689" s="2"/>
      <c r="I689" s="2"/>
      <c r="J689" s="2"/>
      <c r="K689" s="2"/>
      <c r="L689" s="2"/>
      <c r="M689" s="2"/>
      <c r="N689" s="2"/>
      <c r="O689" s="2"/>
      <c r="P689" s="2"/>
      <c r="Q689" s="2"/>
      <c r="R689" s="2"/>
      <c r="S689" s="2"/>
      <c r="T689" s="2"/>
      <c r="U689" s="2"/>
      <c r="V689" s="2"/>
      <c r="W689" s="2"/>
      <c r="X689" s="2"/>
      <c r="Y689" s="2"/>
      <c r="Z689" s="2"/>
      <c r="AA689" s="2"/>
      <c r="AB689" s="2"/>
    </row>
    <row r="690" spans="1:28" ht="13">
      <c r="A690" s="2"/>
      <c r="B690" s="2"/>
      <c r="C690" s="2"/>
      <c r="D690" s="2"/>
      <c r="E690" s="2"/>
      <c r="F690" s="2"/>
      <c r="G690" s="43"/>
      <c r="H690" s="2"/>
      <c r="I690" s="2"/>
      <c r="J690" s="2"/>
      <c r="K690" s="2"/>
      <c r="L690" s="2"/>
      <c r="M690" s="2"/>
      <c r="N690" s="2"/>
      <c r="O690" s="2"/>
      <c r="P690" s="2"/>
      <c r="Q690" s="2"/>
      <c r="R690" s="2"/>
      <c r="S690" s="2"/>
      <c r="T690" s="2"/>
      <c r="U690" s="2"/>
      <c r="V690" s="2"/>
      <c r="W690" s="2"/>
      <c r="X690" s="2"/>
      <c r="Y690" s="2"/>
      <c r="Z690" s="2"/>
      <c r="AA690" s="2"/>
      <c r="AB690" s="2"/>
    </row>
    <row r="691" spans="1:28" ht="13">
      <c r="A691" s="2"/>
      <c r="B691" s="2"/>
      <c r="C691" s="2"/>
      <c r="D691" s="2"/>
      <c r="E691" s="2"/>
      <c r="F691" s="2"/>
      <c r="G691" s="43"/>
      <c r="H691" s="2"/>
      <c r="I691" s="2"/>
      <c r="J691" s="2"/>
      <c r="K691" s="2"/>
      <c r="L691" s="2"/>
      <c r="M691" s="2"/>
      <c r="N691" s="2"/>
      <c r="O691" s="2"/>
      <c r="P691" s="2"/>
      <c r="Q691" s="2"/>
      <c r="R691" s="2"/>
      <c r="S691" s="2"/>
      <c r="T691" s="2"/>
      <c r="U691" s="2"/>
      <c r="V691" s="2"/>
      <c r="W691" s="2"/>
      <c r="X691" s="2"/>
      <c r="Y691" s="2"/>
      <c r="Z691" s="2"/>
      <c r="AA691" s="2"/>
      <c r="AB691" s="2"/>
    </row>
    <row r="692" spans="1:28" ht="13">
      <c r="A692" s="2"/>
      <c r="B692" s="2"/>
      <c r="C692" s="2"/>
      <c r="D692" s="2"/>
      <c r="E692" s="2"/>
      <c r="F692" s="2"/>
      <c r="G692" s="43"/>
      <c r="H692" s="2"/>
      <c r="I692" s="2"/>
      <c r="J692" s="2"/>
      <c r="K692" s="2"/>
      <c r="L692" s="2"/>
      <c r="M692" s="2"/>
      <c r="N692" s="2"/>
      <c r="O692" s="2"/>
      <c r="P692" s="2"/>
      <c r="Q692" s="2"/>
      <c r="R692" s="2"/>
      <c r="S692" s="2"/>
      <c r="T692" s="2"/>
      <c r="U692" s="2"/>
      <c r="V692" s="2"/>
      <c r="W692" s="2"/>
      <c r="X692" s="2"/>
      <c r="Y692" s="2"/>
      <c r="Z692" s="2"/>
      <c r="AA692" s="2"/>
      <c r="AB692" s="2"/>
    </row>
    <row r="693" spans="1:28" ht="13">
      <c r="A693" s="2"/>
      <c r="B693" s="2"/>
      <c r="C693" s="2"/>
      <c r="D693" s="2"/>
      <c r="E693" s="2"/>
      <c r="F693" s="2"/>
      <c r="G693" s="43"/>
      <c r="H693" s="2"/>
      <c r="I693" s="2"/>
      <c r="J693" s="2"/>
      <c r="K693" s="2"/>
      <c r="L693" s="2"/>
      <c r="M693" s="2"/>
      <c r="N693" s="2"/>
      <c r="O693" s="2"/>
      <c r="P693" s="2"/>
      <c r="Q693" s="2"/>
      <c r="R693" s="2"/>
      <c r="S693" s="2"/>
      <c r="T693" s="2"/>
      <c r="U693" s="2"/>
      <c r="V693" s="2"/>
      <c r="W693" s="2"/>
      <c r="X693" s="2"/>
      <c r="Y693" s="2"/>
      <c r="Z693" s="2"/>
      <c r="AA693" s="2"/>
      <c r="AB693" s="2"/>
    </row>
    <row r="694" spans="1:28" ht="13">
      <c r="A694" s="2"/>
      <c r="B694" s="2"/>
      <c r="C694" s="2"/>
      <c r="D694" s="2"/>
      <c r="E694" s="2"/>
      <c r="F694" s="2"/>
      <c r="G694" s="43"/>
      <c r="H694" s="2"/>
      <c r="I694" s="2"/>
      <c r="J694" s="2"/>
      <c r="K694" s="2"/>
      <c r="L694" s="2"/>
      <c r="M694" s="2"/>
      <c r="N694" s="2"/>
      <c r="O694" s="2"/>
      <c r="P694" s="2"/>
      <c r="Q694" s="2"/>
      <c r="R694" s="2"/>
      <c r="S694" s="2"/>
      <c r="T694" s="2"/>
      <c r="U694" s="2"/>
      <c r="V694" s="2"/>
      <c r="W694" s="2"/>
      <c r="X694" s="2"/>
      <c r="Y694" s="2"/>
      <c r="Z694" s="2"/>
      <c r="AA694" s="2"/>
      <c r="AB694" s="2"/>
    </row>
    <row r="695" spans="1:28" ht="13">
      <c r="A695" s="2"/>
      <c r="B695" s="2"/>
      <c r="C695" s="2"/>
      <c r="D695" s="2"/>
      <c r="E695" s="2"/>
      <c r="F695" s="2"/>
      <c r="G695" s="43"/>
      <c r="H695" s="2"/>
      <c r="I695" s="2"/>
      <c r="J695" s="2"/>
      <c r="K695" s="2"/>
      <c r="L695" s="2"/>
      <c r="M695" s="2"/>
      <c r="N695" s="2"/>
      <c r="O695" s="2"/>
      <c r="P695" s="2"/>
      <c r="Q695" s="2"/>
      <c r="R695" s="2"/>
      <c r="S695" s="2"/>
      <c r="T695" s="2"/>
      <c r="U695" s="2"/>
      <c r="V695" s="2"/>
      <c r="W695" s="2"/>
      <c r="X695" s="2"/>
      <c r="Y695" s="2"/>
      <c r="Z695" s="2"/>
      <c r="AA695" s="2"/>
      <c r="AB695" s="2"/>
    </row>
    <row r="696" spans="1:28" ht="13">
      <c r="A696" s="2"/>
      <c r="B696" s="2"/>
      <c r="C696" s="2"/>
      <c r="D696" s="2"/>
      <c r="E696" s="2"/>
      <c r="F696" s="2"/>
      <c r="G696" s="43"/>
      <c r="H696" s="2"/>
      <c r="I696" s="2"/>
      <c r="J696" s="2"/>
      <c r="K696" s="2"/>
      <c r="L696" s="2"/>
      <c r="M696" s="2"/>
      <c r="N696" s="2"/>
      <c r="O696" s="2"/>
      <c r="P696" s="2"/>
      <c r="Q696" s="2"/>
      <c r="R696" s="2"/>
      <c r="S696" s="2"/>
      <c r="T696" s="2"/>
      <c r="U696" s="2"/>
      <c r="V696" s="2"/>
      <c r="W696" s="2"/>
      <c r="X696" s="2"/>
      <c r="Y696" s="2"/>
      <c r="Z696" s="2"/>
      <c r="AA696" s="2"/>
      <c r="AB696" s="2"/>
    </row>
    <row r="697" spans="1:28" ht="13">
      <c r="A697" s="2"/>
      <c r="B697" s="2"/>
      <c r="C697" s="2"/>
      <c r="D697" s="2"/>
      <c r="E697" s="2"/>
      <c r="F697" s="2"/>
      <c r="G697" s="43"/>
      <c r="H697" s="2"/>
      <c r="I697" s="2"/>
      <c r="J697" s="2"/>
      <c r="K697" s="2"/>
      <c r="L697" s="2"/>
      <c r="M697" s="2"/>
      <c r="N697" s="2"/>
      <c r="O697" s="2"/>
      <c r="P697" s="2"/>
      <c r="Q697" s="2"/>
      <c r="R697" s="2"/>
      <c r="S697" s="2"/>
      <c r="T697" s="2"/>
      <c r="U697" s="2"/>
      <c r="V697" s="2"/>
      <c r="W697" s="2"/>
      <c r="X697" s="2"/>
      <c r="Y697" s="2"/>
      <c r="Z697" s="2"/>
      <c r="AA697" s="2"/>
      <c r="AB697" s="2"/>
    </row>
    <row r="698" spans="1:28" ht="13">
      <c r="A698" s="2"/>
      <c r="B698" s="2"/>
      <c r="C698" s="2"/>
      <c r="D698" s="2"/>
      <c r="E698" s="2"/>
      <c r="F698" s="2"/>
      <c r="G698" s="43"/>
      <c r="H698" s="2"/>
      <c r="I698" s="2"/>
      <c r="J698" s="2"/>
      <c r="K698" s="2"/>
      <c r="L698" s="2"/>
      <c r="M698" s="2"/>
      <c r="N698" s="2"/>
      <c r="O698" s="2"/>
      <c r="P698" s="2"/>
      <c r="Q698" s="2"/>
      <c r="R698" s="2"/>
      <c r="S698" s="2"/>
      <c r="T698" s="2"/>
      <c r="U698" s="2"/>
      <c r="V698" s="2"/>
      <c r="W698" s="2"/>
      <c r="X698" s="2"/>
      <c r="Y698" s="2"/>
      <c r="Z698" s="2"/>
      <c r="AA698" s="2"/>
      <c r="AB698" s="2"/>
    </row>
    <row r="699" spans="1:28" ht="13">
      <c r="A699" s="2"/>
      <c r="B699" s="2"/>
      <c r="C699" s="2"/>
      <c r="D699" s="2"/>
      <c r="E699" s="2"/>
      <c r="F699" s="2"/>
      <c r="G699" s="43"/>
      <c r="H699" s="2"/>
      <c r="I699" s="2"/>
      <c r="J699" s="2"/>
      <c r="K699" s="2"/>
      <c r="L699" s="2"/>
      <c r="M699" s="2"/>
      <c r="N699" s="2"/>
      <c r="O699" s="2"/>
      <c r="P699" s="2"/>
      <c r="Q699" s="2"/>
      <c r="R699" s="2"/>
      <c r="S699" s="2"/>
      <c r="T699" s="2"/>
      <c r="U699" s="2"/>
      <c r="V699" s="2"/>
      <c r="W699" s="2"/>
      <c r="X699" s="2"/>
      <c r="Y699" s="2"/>
      <c r="Z699" s="2"/>
      <c r="AA699" s="2"/>
      <c r="AB699" s="2"/>
    </row>
    <row r="700" spans="1:28" ht="13">
      <c r="A700" s="2"/>
      <c r="B700" s="2"/>
      <c r="C700" s="2"/>
      <c r="D700" s="2"/>
      <c r="E700" s="2"/>
      <c r="F700" s="2"/>
      <c r="G700" s="43"/>
      <c r="H700" s="2"/>
      <c r="I700" s="2"/>
      <c r="J700" s="2"/>
      <c r="K700" s="2"/>
      <c r="L700" s="2"/>
      <c r="M700" s="2"/>
      <c r="N700" s="2"/>
      <c r="O700" s="2"/>
      <c r="P700" s="2"/>
      <c r="Q700" s="2"/>
      <c r="R700" s="2"/>
      <c r="S700" s="2"/>
      <c r="T700" s="2"/>
      <c r="U700" s="2"/>
      <c r="V700" s="2"/>
      <c r="W700" s="2"/>
      <c r="X700" s="2"/>
      <c r="Y700" s="2"/>
      <c r="Z700" s="2"/>
      <c r="AA700" s="2"/>
      <c r="AB700" s="2"/>
    </row>
    <row r="701" spans="1:28" ht="13">
      <c r="A701" s="2"/>
      <c r="B701" s="2"/>
      <c r="C701" s="2"/>
      <c r="D701" s="2"/>
      <c r="E701" s="2"/>
      <c r="F701" s="2"/>
      <c r="G701" s="43"/>
      <c r="H701" s="2"/>
      <c r="I701" s="2"/>
      <c r="J701" s="2"/>
      <c r="K701" s="2"/>
      <c r="L701" s="2"/>
      <c r="M701" s="2"/>
      <c r="N701" s="2"/>
      <c r="O701" s="2"/>
      <c r="P701" s="2"/>
      <c r="Q701" s="2"/>
      <c r="R701" s="2"/>
      <c r="S701" s="2"/>
      <c r="T701" s="2"/>
      <c r="U701" s="2"/>
      <c r="V701" s="2"/>
      <c r="W701" s="2"/>
      <c r="X701" s="2"/>
      <c r="Y701" s="2"/>
      <c r="Z701" s="2"/>
      <c r="AA701" s="2"/>
      <c r="AB701" s="2"/>
    </row>
    <row r="702" spans="1:28" ht="13">
      <c r="A702" s="2"/>
      <c r="B702" s="2"/>
      <c r="C702" s="2"/>
      <c r="D702" s="2"/>
      <c r="E702" s="2"/>
      <c r="F702" s="2"/>
      <c r="G702" s="43"/>
      <c r="H702" s="2"/>
      <c r="I702" s="2"/>
      <c r="J702" s="2"/>
      <c r="K702" s="2"/>
      <c r="L702" s="2"/>
      <c r="M702" s="2"/>
      <c r="N702" s="2"/>
      <c r="O702" s="2"/>
      <c r="P702" s="2"/>
      <c r="Q702" s="2"/>
      <c r="R702" s="2"/>
      <c r="S702" s="2"/>
      <c r="T702" s="2"/>
      <c r="U702" s="2"/>
      <c r="V702" s="2"/>
      <c r="W702" s="2"/>
      <c r="X702" s="2"/>
      <c r="Y702" s="2"/>
      <c r="Z702" s="2"/>
      <c r="AA702" s="2"/>
      <c r="AB702" s="2"/>
    </row>
    <row r="703" spans="1:28" ht="13">
      <c r="A703" s="2"/>
      <c r="B703" s="2"/>
      <c r="C703" s="2"/>
      <c r="D703" s="2"/>
      <c r="E703" s="2"/>
      <c r="F703" s="2"/>
      <c r="G703" s="43"/>
      <c r="H703" s="2"/>
      <c r="I703" s="2"/>
      <c r="J703" s="2"/>
      <c r="K703" s="2"/>
      <c r="L703" s="2"/>
      <c r="M703" s="2"/>
      <c r="N703" s="2"/>
      <c r="O703" s="2"/>
      <c r="P703" s="2"/>
      <c r="Q703" s="2"/>
      <c r="R703" s="2"/>
      <c r="S703" s="2"/>
      <c r="T703" s="2"/>
      <c r="U703" s="2"/>
      <c r="V703" s="2"/>
      <c r="W703" s="2"/>
      <c r="X703" s="2"/>
      <c r="Y703" s="2"/>
      <c r="Z703" s="2"/>
      <c r="AA703" s="2"/>
      <c r="AB703" s="2"/>
    </row>
    <row r="704" spans="1:28" ht="13">
      <c r="A704" s="2"/>
      <c r="B704" s="2"/>
      <c r="C704" s="2"/>
      <c r="D704" s="2"/>
      <c r="E704" s="2"/>
      <c r="F704" s="2"/>
      <c r="G704" s="43"/>
      <c r="H704" s="2"/>
      <c r="I704" s="2"/>
      <c r="J704" s="2"/>
      <c r="K704" s="2"/>
      <c r="L704" s="2"/>
      <c r="M704" s="2"/>
      <c r="N704" s="2"/>
      <c r="O704" s="2"/>
      <c r="P704" s="2"/>
      <c r="Q704" s="2"/>
      <c r="R704" s="2"/>
      <c r="S704" s="2"/>
      <c r="T704" s="2"/>
      <c r="U704" s="2"/>
      <c r="V704" s="2"/>
      <c r="W704" s="2"/>
      <c r="X704" s="2"/>
      <c r="Y704" s="2"/>
      <c r="Z704" s="2"/>
      <c r="AA704" s="2"/>
      <c r="AB704" s="2"/>
    </row>
    <row r="705" spans="1:28" ht="13">
      <c r="A705" s="2"/>
      <c r="B705" s="2"/>
      <c r="C705" s="2"/>
      <c r="D705" s="2"/>
      <c r="E705" s="2"/>
      <c r="F705" s="2"/>
      <c r="G705" s="43"/>
      <c r="H705" s="2"/>
      <c r="I705" s="2"/>
      <c r="J705" s="2"/>
      <c r="K705" s="2"/>
      <c r="L705" s="2"/>
      <c r="M705" s="2"/>
      <c r="N705" s="2"/>
      <c r="O705" s="2"/>
      <c r="P705" s="2"/>
      <c r="Q705" s="2"/>
      <c r="R705" s="2"/>
      <c r="S705" s="2"/>
      <c r="T705" s="2"/>
      <c r="U705" s="2"/>
      <c r="V705" s="2"/>
      <c r="W705" s="2"/>
      <c r="X705" s="2"/>
      <c r="Y705" s="2"/>
      <c r="Z705" s="2"/>
      <c r="AA705" s="2"/>
      <c r="AB705" s="2"/>
    </row>
    <row r="706" spans="1:28" ht="13">
      <c r="A706" s="2"/>
      <c r="B706" s="2"/>
      <c r="C706" s="2"/>
      <c r="D706" s="2"/>
      <c r="E706" s="2"/>
      <c r="F706" s="2"/>
      <c r="G706" s="43"/>
      <c r="H706" s="2"/>
      <c r="I706" s="2"/>
      <c r="J706" s="2"/>
      <c r="K706" s="2"/>
      <c r="L706" s="2"/>
      <c r="M706" s="2"/>
      <c r="N706" s="2"/>
      <c r="O706" s="2"/>
      <c r="P706" s="2"/>
      <c r="Q706" s="2"/>
      <c r="R706" s="2"/>
      <c r="S706" s="2"/>
      <c r="T706" s="2"/>
      <c r="U706" s="2"/>
      <c r="V706" s="2"/>
      <c r="W706" s="2"/>
      <c r="X706" s="2"/>
      <c r="Y706" s="2"/>
      <c r="Z706" s="2"/>
      <c r="AA706" s="2"/>
      <c r="AB706" s="2"/>
    </row>
    <row r="707" spans="1:28" ht="13">
      <c r="A707" s="2"/>
      <c r="B707" s="2"/>
      <c r="C707" s="2"/>
      <c r="D707" s="2"/>
      <c r="E707" s="2"/>
      <c r="F707" s="2"/>
      <c r="G707" s="43"/>
      <c r="H707" s="2"/>
      <c r="I707" s="2"/>
      <c r="J707" s="2"/>
      <c r="K707" s="2"/>
      <c r="L707" s="2"/>
      <c r="M707" s="2"/>
      <c r="N707" s="2"/>
      <c r="O707" s="2"/>
      <c r="P707" s="2"/>
      <c r="Q707" s="2"/>
      <c r="R707" s="2"/>
      <c r="S707" s="2"/>
      <c r="T707" s="2"/>
      <c r="U707" s="2"/>
      <c r="V707" s="2"/>
      <c r="W707" s="2"/>
      <c r="X707" s="2"/>
      <c r="Y707" s="2"/>
      <c r="Z707" s="2"/>
      <c r="AA707" s="2"/>
      <c r="AB707" s="2"/>
    </row>
    <row r="708" spans="1:28" ht="13">
      <c r="A708" s="2"/>
      <c r="B708" s="2"/>
      <c r="C708" s="2"/>
      <c r="D708" s="2"/>
      <c r="E708" s="2"/>
      <c r="F708" s="2"/>
      <c r="G708" s="43"/>
      <c r="H708" s="2"/>
      <c r="I708" s="2"/>
      <c r="J708" s="2"/>
      <c r="K708" s="2"/>
      <c r="L708" s="2"/>
      <c r="M708" s="2"/>
      <c r="N708" s="2"/>
      <c r="O708" s="2"/>
      <c r="P708" s="2"/>
      <c r="Q708" s="2"/>
      <c r="R708" s="2"/>
      <c r="S708" s="2"/>
      <c r="T708" s="2"/>
      <c r="U708" s="2"/>
      <c r="V708" s="2"/>
      <c r="W708" s="2"/>
      <c r="X708" s="2"/>
      <c r="Y708" s="2"/>
      <c r="Z708" s="2"/>
      <c r="AA708" s="2"/>
      <c r="AB708" s="2"/>
    </row>
    <row r="709" spans="1:28" ht="13">
      <c r="A709" s="2"/>
      <c r="B709" s="2"/>
      <c r="C709" s="2"/>
      <c r="D709" s="2"/>
      <c r="E709" s="2"/>
      <c r="F709" s="2"/>
      <c r="G709" s="43"/>
      <c r="H709" s="2"/>
      <c r="I709" s="2"/>
      <c r="J709" s="2"/>
      <c r="K709" s="2"/>
      <c r="L709" s="2"/>
      <c r="M709" s="2"/>
      <c r="N709" s="2"/>
      <c r="O709" s="2"/>
      <c r="P709" s="2"/>
      <c r="Q709" s="2"/>
      <c r="R709" s="2"/>
      <c r="S709" s="2"/>
      <c r="T709" s="2"/>
      <c r="U709" s="2"/>
      <c r="V709" s="2"/>
      <c r="W709" s="2"/>
      <c r="X709" s="2"/>
      <c r="Y709" s="2"/>
      <c r="Z709" s="2"/>
      <c r="AA709" s="2"/>
      <c r="AB709" s="2"/>
    </row>
    <row r="710" spans="1:28" ht="13">
      <c r="A710" s="2"/>
      <c r="B710" s="2"/>
      <c r="C710" s="2"/>
      <c r="D710" s="2"/>
      <c r="E710" s="2"/>
      <c r="F710" s="2"/>
      <c r="G710" s="43"/>
      <c r="H710" s="2"/>
      <c r="I710" s="2"/>
      <c r="J710" s="2"/>
      <c r="K710" s="2"/>
      <c r="L710" s="2"/>
      <c r="M710" s="2"/>
      <c r="N710" s="2"/>
      <c r="O710" s="2"/>
      <c r="P710" s="2"/>
      <c r="Q710" s="2"/>
      <c r="R710" s="2"/>
      <c r="S710" s="2"/>
      <c r="T710" s="2"/>
      <c r="U710" s="2"/>
      <c r="V710" s="2"/>
      <c r="W710" s="2"/>
      <c r="X710" s="2"/>
      <c r="Y710" s="2"/>
      <c r="Z710" s="2"/>
      <c r="AA710" s="2"/>
      <c r="AB710" s="2"/>
    </row>
    <row r="711" spans="1:28" ht="13">
      <c r="A711" s="2"/>
      <c r="B711" s="2"/>
      <c r="C711" s="2"/>
      <c r="D711" s="2"/>
      <c r="E711" s="2"/>
      <c r="F711" s="2"/>
      <c r="G711" s="43"/>
      <c r="H711" s="2"/>
      <c r="I711" s="2"/>
      <c r="J711" s="2"/>
      <c r="K711" s="2"/>
      <c r="L711" s="2"/>
      <c r="M711" s="2"/>
      <c r="N711" s="2"/>
      <c r="O711" s="2"/>
      <c r="P711" s="2"/>
      <c r="Q711" s="2"/>
      <c r="R711" s="2"/>
      <c r="S711" s="2"/>
      <c r="T711" s="2"/>
      <c r="U711" s="2"/>
      <c r="V711" s="2"/>
      <c r="W711" s="2"/>
      <c r="X711" s="2"/>
      <c r="Y711" s="2"/>
      <c r="Z711" s="2"/>
      <c r="AA711" s="2"/>
      <c r="AB711" s="2"/>
    </row>
    <row r="712" spans="1:28" ht="13">
      <c r="A712" s="2"/>
      <c r="B712" s="2"/>
      <c r="C712" s="2"/>
      <c r="D712" s="2"/>
      <c r="E712" s="2"/>
      <c r="F712" s="2"/>
      <c r="G712" s="43"/>
      <c r="H712" s="2"/>
      <c r="I712" s="2"/>
      <c r="J712" s="2"/>
      <c r="K712" s="2"/>
      <c r="L712" s="2"/>
      <c r="M712" s="2"/>
      <c r="N712" s="2"/>
      <c r="O712" s="2"/>
      <c r="P712" s="2"/>
      <c r="Q712" s="2"/>
      <c r="R712" s="2"/>
      <c r="S712" s="2"/>
      <c r="T712" s="2"/>
      <c r="U712" s="2"/>
      <c r="V712" s="2"/>
      <c r="W712" s="2"/>
      <c r="X712" s="2"/>
      <c r="Y712" s="2"/>
      <c r="Z712" s="2"/>
      <c r="AA712" s="2"/>
      <c r="AB712" s="2"/>
    </row>
    <row r="713" spans="1:28" ht="13">
      <c r="A713" s="2"/>
      <c r="B713" s="2"/>
      <c r="C713" s="2"/>
      <c r="D713" s="2"/>
      <c r="E713" s="2"/>
      <c r="F713" s="2"/>
      <c r="G713" s="43"/>
      <c r="H713" s="2"/>
      <c r="I713" s="2"/>
      <c r="J713" s="2"/>
      <c r="K713" s="2"/>
      <c r="L713" s="2"/>
      <c r="M713" s="2"/>
      <c r="N713" s="2"/>
      <c r="O713" s="2"/>
      <c r="P713" s="2"/>
      <c r="Q713" s="2"/>
      <c r="R713" s="2"/>
      <c r="S713" s="2"/>
      <c r="T713" s="2"/>
      <c r="U713" s="2"/>
      <c r="V713" s="2"/>
      <c r="W713" s="2"/>
      <c r="X713" s="2"/>
      <c r="Y713" s="2"/>
      <c r="Z713" s="2"/>
      <c r="AA713" s="2"/>
      <c r="AB713" s="2"/>
    </row>
    <row r="714" spans="1:28" ht="13">
      <c r="A714" s="2"/>
      <c r="B714" s="2"/>
      <c r="C714" s="2"/>
      <c r="D714" s="2"/>
      <c r="E714" s="2"/>
      <c r="F714" s="2"/>
      <c r="G714" s="43"/>
      <c r="H714" s="2"/>
      <c r="I714" s="2"/>
      <c r="J714" s="2"/>
      <c r="K714" s="2"/>
      <c r="L714" s="2"/>
      <c r="M714" s="2"/>
      <c r="N714" s="2"/>
      <c r="O714" s="2"/>
      <c r="P714" s="2"/>
      <c r="Q714" s="2"/>
      <c r="R714" s="2"/>
      <c r="S714" s="2"/>
      <c r="T714" s="2"/>
      <c r="U714" s="2"/>
      <c r="V714" s="2"/>
      <c r="W714" s="2"/>
      <c r="X714" s="2"/>
      <c r="Y714" s="2"/>
      <c r="Z714" s="2"/>
      <c r="AA714" s="2"/>
      <c r="AB714" s="2"/>
    </row>
    <row r="715" spans="1:28" ht="13">
      <c r="A715" s="2"/>
      <c r="B715" s="2"/>
      <c r="C715" s="2"/>
      <c r="D715" s="2"/>
      <c r="E715" s="2"/>
      <c r="F715" s="2"/>
      <c r="G715" s="43"/>
      <c r="H715" s="2"/>
      <c r="I715" s="2"/>
      <c r="J715" s="2"/>
      <c r="K715" s="2"/>
      <c r="L715" s="2"/>
      <c r="M715" s="2"/>
      <c r="N715" s="2"/>
      <c r="O715" s="2"/>
      <c r="P715" s="2"/>
      <c r="Q715" s="2"/>
      <c r="R715" s="2"/>
      <c r="S715" s="2"/>
      <c r="T715" s="2"/>
      <c r="U715" s="2"/>
      <c r="V715" s="2"/>
      <c r="W715" s="2"/>
      <c r="X715" s="2"/>
      <c r="Y715" s="2"/>
      <c r="Z715" s="2"/>
      <c r="AA715" s="2"/>
      <c r="AB715" s="2"/>
    </row>
    <row r="716" spans="1:28" ht="13">
      <c r="A716" s="2"/>
      <c r="B716" s="2"/>
      <c r="C716" s="2"/>
      <c r="D716" s="2"/>
      <c r="E716" s="2"/>
      <c r="F716" s="2"/>
      <c r="G716" s="43"/>
      <c r="H716" s="2"/>
      <c r="I716" s="2"/>
      <c r="J716" s="2"/>
      <c r="K716" s="2"/>
      <c r="L716" s="2"/>
      <c r="M716" s="2"/>
      <c r="N716" s="2"/>
      <c r="O716" s="2"/>
      <c r="P716" s="2"/>
      <c r="Q716" s="2"/>
      <c r="R716" s="2"/>
      <c r="S716" s="2"/>
      <c r="T716" s="2"/>
      <c r="U716" s="2"/>
      <c r="V716" s="2"/>
      <c r="W716" s="2"/>
      <c r="X716" s="2"/>
      <c r="Y716" s="2"/>
      <c r="Z716" s="2"/>
      <c r="AA716" s="2"/>
      <c r="AB716" s="2"/>
    </row>
    <row r="717" spans="1:28" ht="13">
      <c r="A717" s="2"/>
      <c r="B717" s="2"/>
      <c r="C717" s="2"/>
      <c r="D717" s="2"/>
      <c r="E717" s="2"/>
      <c r="F717" s="2"/>
      <c r="G717" s="43"/>
      <c r="H717" s="2"/>
      <c r="I717" s="2"/>
      <c r="J717" s="2"/>
      <c r="K717" s="2"/>
      <c r="L717" s="2"/>
      <c r="M717" s="2"/>
      <c r="N717" s="2"/>
      <c r="O717" s="2"/>
      <c r="P717" s="2"/>
      <c r="Q717" s="2"/>
      <c r="R717" s="2"/>
      <c r="S717" s="2"/>
      <c r="T717" s="2"/>
      <c r="U717" s="2"/>
      <c r="V717" s="2"/>
      <c r="W717" s="2"/>
      <c r="X717" s="2"/>
      <c r="Y717" s="2"/>
      <c r="Z717" s="2"/>
      <c r="AA717" s="2"/>
      <c r="AB717" s="2"/>
    </row>
    <row r="718" spans="1:28" ht="13">
      <c r="A718" s="2"/>
      <c r="B718" s="2"/>
      <c r="C718" s="2"/>
      <c r="D718" s="2"/>
      <c r="E718" s="2"/>
      <c r="F718" s="2"/>
      <c r="G718" s="43"/>
      <c r="H718" s="2"/>
      <c r="I718" s="2"/>
      <c r="J718" s="2"/>
      <c r="K718" s="2"/>
      <c r="L718" s="2"/>
      <c r="M718" s="2"/>
      <c r="N718" s="2"/>
      <c r="O718" s="2"/>
      <c r="P718" s="2"/>
      <c r="Q718" s="2"/>
      <c r="R718" s="2"/>
      <c r="S718" s="2"/>
      <c r="T718" s="2"/>
      <c r="U718" s="2"/>
      <c r="V718" s="2"/>
      <c r="W718" s="2"/>
      <c r="X718" s="2"/>
      <c r="Y718" s="2"/>
      <c r="Z718" s="2"/>
      <c r="AA718" s="2"/>
      <c r="AB718" s="2"/>
    </row>
    <row r="719" spans="1:28" ht="13">
      <c r="A719" s="2"/>
      <c r="B719" s="2"/>
      <c r="C719" s="2"/>
      <c r="D719" s="2"/>
      <c r="E719" s="2"/>
      <c r="F719" s="2"/>
      <c r="G719" s="43"/>
      <c r="H719" s="2"/>
      <c r="I719" s="2"/>
      <c r="J719" s="2"/>
      <c r="K719" s="2"/>
      <c r="L719" s="2"/>
      <c r="M719" s="2"/>
      <c r="N719" s="2"/>
      <c r="O719" s="2"/>
      <c r="P719" s="2"/>
      <c r="Q719" s="2"/>
      <c r="R719" s="2"/>
      <c r="S719" s="2"/>
      <c r="T719" s="2"/>
      <c r="U719" s="2"/>
      <c r="V719" s="2"/>
      <c r="W719" s="2"/>
      <c r="X719" s="2"/>
      <c r="Y719" s="2"/>
      <c r="Z719" s="2"/>
      <c r="AA719" s="2"/>
      <c r="AB719" s="2"/>
    </row>
    <row r="720" spans="1:28" ht="13">
      <c r="A720" s="2"/>
      <c r="B720" s="2"/>
      <c r="C720" s="2"/>
      <c r="D720" s="2"/>
      <c r="E720" s="2"/>
      <c r="F720" s="2"/>
      <c r="G720" s="43"/>
      <c r="H720" s="2"/>
      <c r="I720" s="2"/>
      <c r="J720" s="2"/>
      <c r="K720" s="2"/>
      <c r="L720" s="2"/>
      <c r="M720" s="2"/>
      <c r="N720" s="2"/>
      <c r="O720" s="2"/>
      <c r="P720" s="2"/>
      <c r="Q720" s="2"/>
      <c r="R720" s="2"/>
      <c r="S720" s="2"/>
      <c r="T720" s="2"/>
      <c r="U720" s="2"/>
      <c r="V720" s="2"/>
      <c r="W720" s="2"/>
      <c r="X720" s="2"/>
      <c r="Y720" s="2"/>
      <c r="Z720" s="2"/>
      <c r="AA720" s="2"/>
      <c r="AB720" s="2"/>
    </row>
    <row r="721" spans="1:28" ht="13">
      <c r="A721" s="2"/>
      <c r="B721" s="2"/>
      <c r="C721" s="2"/>
      <c r="D721" s="2"/>
      <c r="E721" s="2"/>
      <c r="F721" s="2"/>
      <c r="G721" s="43"/>
      <c r="H721" s="2"/>
      <c r="I721" s="2"/>
      <c r="J721" s="2"/>
      <c r="K721" s="2"/>
      <c r="L721" s="2"/>
      <c r="M721" s="2"/>
      <c r="N721" s="2"/>
      <c r="O721" s="2"/>
      <c r="P721" s="2"/>
      <c r="Q721" s="2"/>
      <c r="R721" s="2"/>
      <c r="S721" s="2"/>
      <c r="T721" s="2"/>
      <c r="U721" s="2"/>
      <c r="V721" s="2"/>
      <c r="W721" s="2"/>
      <c r="X721" s="2"/>
      <c r="Y721" s="2"/>
      <c r="Z721" s="2"/>
      <c r="AA721" s="2"/>
      <c r="AB721" s="2"/>
    </row>
    <row r="722" spans="1:28" ht="13">
      <c r="A722" s="2"/>
      <c r="B722" s="2"/>
      <c r="C722" s="2"/>
      <c r="D722" s="2"/>
      <c r="E722" s="2"/>
      <c r="F722" s="2"/>
      <c r="G722" s="43"/>
      <c r="H722" s="2"/>
      <c r="I722" s="2"/>
      <c r="J722" s="2"/>
      <c r="K722" s="2"/>
      <c r="L722" s="2"/>
      <c r="M722" s="2"/>
      <c r="N722" s="2"/>
      <c r="O722" s="2"/>
      <c r="P722" s="2"/>
      <c r="Q722" s="2"/>
      <c r="R722" s="2"/>
      <c r="S722" s="2"/>
      <c r="T722" s="2"/>
      <c r="U722" s="2"/>
      <c r="V722" s="2"/>
      <c r="W722" s="2"/>
      <c r="X722" s="2"/>
      <c r="Y722" s="2"/>
      <c r="Z722" s="2"/>
      <c r="AA722" s="2"/>
      <c r="AB722" s="2"/>
    </row>
    <row r="723" spans="1:28" ht="13">
      <c r="A723" s="2"/>
      <c r="B723" s="2"/>
      <c r="C723" s="2"/>
      <c r="D723" s="2"/>
      <c r="E723" s="2"/>
      <c r="F723" s="2"/>
      <c r="G723" s="43"/>
      <c r="H723" s="2"/>
      <c r="I723" s="2"/>
      <c r="J723" s="2"/>
      <c r="K723" s="2"/>
      <c r="L723" s="2"/>
      <c r="M723" s="2"/>
      <c r="N723" s="2"/>
      <c r="O723" s="2"/>
      <c r="P723" s="2"/>
      <c r="Q723" s="2"/>
      <c r="R723" s="2"/>
      <c r="S723" s="2"/>
      <c r="T723" s="2"/>
      <c r="U723" s="2"/>
      <c r="V723" s="2"/>
      <c r="W723" s="2"/>
      <c r="X723" s="2"/>
      <c r="Y723" s="2"/>
      <c r="Z723" s="2"/>
      <c r="AA723" s="2"/>
      <c r="AB723" s="2"/>
    </row>
    <row r="724" spans="1:28" ht="13">
      <c r="A724" s="2"/>
      <c r="B724" s="2"/>
      <c r="C724" s="2"/>
      <c r="D724" s="2"/>
      <c r="E724" s="2"/>
      <c r="F724" s="2"/>
      <c r="G724" s="43"/>
      <c r="H724" s="2"/>
      <c r="I724" s="2"/>
      <c r="J724" s="2"/>
      <c r="K724" s="2"/>
      <c r="L724" s="2"/>
      <c r="M724" s="2"/>
      <c r="N724" s="2"/>
      <c r="O724" s="2"/>
      <c r="P724" s="2"/>
      <c r="Q724" s="2"/>
      <c r="R724" s="2"/>
      <c r="S724" s="2"/>
      <c r="T724" s="2"/>
      <c r="U724" s="2"/>
      <c r="V724" s="2"/>
      <c r="W724" s="2"/>
      <c r="X724" s="2"/>
      <c r="Y724" s="2"/>
      <c r="Z724" s="2"/>
      <c r="AA724" s="2"/>
      <c r="AB724" s="2"/>
    </row>
    <row r="725" spans="1:28" ht="13">
      <c r="A725" s="2"/>
      <c r="B725" s="2"/>
      <c r="C725" s="2"/>
      <c r="D725" s="2"/>
      <c r="E725" s="2"/>
      <c r="F725" s="2"/>
      <c r="G725" s="43"/>
      <c r="H725" s="2"/>
      <c r="I725" s="2"/>
      <c r="J725" s="2"/>
      <c r="K725" s="2"/>
      <c r="L725" s="2"/>
      <c r="M725" s="2"/>
      <c r="N725" s="2"/>
      <c r="O725" s="2"/>
      <c r="P725" s="2"/>
      <c r="Q725" s="2"/>
      <c r="R725" s="2"/>
      <c r="S725" s="2"/>
      <c r="T725" s="2"/>
      <c r="U725" s="2"/>
      <c r="V725" s="2"/>
      <c r="W725" s="2"/>
      <c r="X725" s="2"/>
      <c r="Y725" s="2"/>
      <c r="Z725" s="2"/>
      <c r="AA725" s="2"/>
      <c r="AB725" s="2"/>
    </row>
    <row r="726" spans="1:28" ht="13">
      <c r="A726" s="2"/>
      <c r="B726" s="2"/>
      <c r="C726" s="2"/>
      <c r="D726" s="2"/>
      <c r="E726" s="2"/>
      <c r="F726" s="2"/>
      <c r="G726" s="43"/>
      <c r="H726" s="2"/>
      <c r="I726" s="2"/>
      <c r="J726" s="2"/>
      <c r="K726" s="2"/>
      <c r="L726" s="2"/>
      <c r="M726" s="2"/>
      <c r="N726" s="2"/>
      <c r="O726" s="2"/>
      <c r="P726" s="2"/>
      <c r="Q726" s="2"/>
      <c r="R726" s="2"/>
      <c r="S726" s="2"/>
      <c r="T726" s="2"/>
      <c r="U726" s="2"/>
      <c r="V726" s="2"/>
      <c r="W726" s="2"/>
      <c r="X726" s="2"/>
      <c r="Y726" s="2"/>
      <c r="Z726" s="2"/>
      <c r="AA726" s="2"/>
      <c r="AB726" s="2"/>
    </row>
    <row r="727" spans="1:28" ht="13">
      <c r="A727" s="2"/>
      <c r="B727" s="2"/>
      <c r="C727" s="2"/>
      <c r="D727" s="2"/>
      <c r="E727" s="2"/>
      <c r="F727" s="2"/>
      <c r="G727" s="43"/>
      <c r="H727" s="2"/>
      <c r="I727" s="2"/>
      <c r="J727" s="2"/>
      <c r="K727" s="2"/>
      <c r="L727" s="2"/>
      <c r="M727" s="2"/>
      <c r="N727" s="2"/>
      <c r="O727" s="2"/>
      <c r="P727" s="2"/>
      <c r="Q727" s="2"/>
      <c r="R727" s="2"/>
      <c r="S727" s="2"/>
      <c r="T727" s="2"/>
      <c r="U727" s="2"/>
      <c r="V727" s="2"/>
      <c r="W727" s="2"/>
      <c r="X727" s="2"/>
      <c r="Y727" s="2"/>
      <c r="Z727" s="2"/>
      <c r="AA727" s="2"/>
      <c r="AB727" s="2"/>
    </row>
    <row r="728" spans="1:28" ht="13">
      <c r="A728" s="2"/>
      <c r="B728" s="2"/>
      <c r="C728" s="2"/>
      <c r="D728" s="2"/>
      <c r="E728" s="2"/>
      <c r="F728" s="2"/>
      <c r="G728" s="43"/>
      <c r="H728" s="2"/>
      <c r="I728" s="2"/>
      <c r="J728" s="2"/>
      <c r="K728" s="2"/>
      <c r="L728" s="2"/>
      <c r="M728" s="2"/>
      <c r="N728" s="2"/>
      <c r="O728" s="2"/>
      <c r="P728" s="2"/>
      <c r="Q728" s="2"/>
      <c r="R728" s="2"/>
      <c r="S728" s="2"/>
      <c r="T728" s="2"/>
      <c r="U728" s="2"/>
      <c r="V728" s="2"/>
      <c r="W728" s="2"/>
      <c r="X728" s="2"/>
      <c r="Y728" s="2"/>
      <c r="Z728" s="2"/>
      <c r="AA728" s="2"/>
      <c r="AB728" s="2"/>
    </row>
    <row r="729" spans="1:28" ht="13">
      <c r="A729" s="2"/>
      <c r="B729" s="2"/>
      <c r="C729" s="2"/>
      <c r="D729" s="2"/>
      <c r="E729" s="2"/>
      <c r="F729" s="2"/>
      <c r="G729" s="43"/>
      <c r="H729" s="2"/>
      <c r="I729" s="2"/>
      <c r="J729" s="2"/>
      <c r="K729" s="2"/>
      <c r="L729" s="2"/>
      <c r="M729" s="2"/>
      <c r="N729" s="2"/>
      <c r="O729" s="2"/>
      <c r="P729" s="2"/>
      <c r="Q729" s="2"/>
      <c r="R729" s="2"/>
      <c r="S729" s="2"/>
      <c r="T729" s="2"/>
      <c r="U729" s="2"/>
      <c r="V729" s="2"/>
      <c r="W729" s="2"/>
      <c r="X729" s="2"/>
      <c r="Y729" s="2"/>
      <c r="Z729" s="2"/>
      <c r="AA729" s="2"/>
      <c r="AB729" s="2"/>
    </row>
    <row r="730" spans="1:28" ht="13">
      <c r="A730" s="2"/>
      <c r="B730" s="2"/>
      <c r="C730" s="2"/>
      <c r="D730" s="2"/>
      <c r="E730" s="2"/>
      <c r="F730" s="2"/>
      <c r="G730" s="43"/>
      <c r="H730" s="2"/>
      <c r="I730" s="2"/>
      <c r="J730" s="2"/>
      <c r="K730" s="2"/>
      <c r="L730" s="2"/>
      <c r="M730" s="2"/>
      <c r="N730" s="2"/>
      <c r="O730" s="2"/>
      <c r="P730" s="2"/>
      <c r="Q730" s="2"/>
      <c r="R730" s="2"/>
      <c r="S730" s="2"/>
      <c r="T730" s="2"/>
      <c r="U730" s="2"/>
      <c r="V730" s="2"/>
      <c r="W730" s="2"/>
      <c r="X730" s="2"/>
      <c r="Y730" s="2"/>
      <c r="Z730" s="2"/>
      <c r="AA730" s="2"/>
      <c r="AB730" s="2"/>
    </row>
    <row r="731" spans="1:28" ht="13">
      <c r="A731" s="2"/>
      <c r="B731" s="2"/>
      <c r="C731" s="2"/>
      <c r="D731" s="2"/>
      <c r="E731" s="2"/>
      <c r="F731" s="2"/>
      <c r="G731" s="43"/>
      <c r="H731" s="2"/>
      <c r="I731" s="2"/>
      <c r="J731" s="2"/>
      <c r="K731" s="2"/>
      <c r="L731" s="2"/>
      <c r="M731" s="2"/>
      <c r="N731" s="2"/>
      <c r="O731" s="2"/>
      <c r="P731" s="2"/>
      <c r="Q731" s="2"/>
      <c r="R731" s="2"/>
      <c r="S731" s="2"/>
      <c r="T731" s="2"/>
      <c r="U731" s="2"/>
      <c r="V731" s="2"/>
      <c r="W731" s="2"/>
      <c r="X731" s="2"/>
      <c r="Y731" s="2"/>
      <c r="Z731" s="2"/>
      <c r="AA731" s="2"/>
      <c r="AB731" s="2"/>
    </row>
    <row r="732" spans="1:28" ht="13">
      <c r="A732" s="2"/>
      <c r="B732" s="2"/>
      <c r="C732" s="2"/>
      <c r="D732" s="2"/>
      <c r="E732" s="2"/>
      <c r="F732" s="2"/>
      <c r="G732" s="43"/>
      <c r="H732" s="2"/>
      <c r="I732" s="2"/>
      <c r="J732" s="2"/>
      <c r="K732" s="2"/>
      <c r="L732" s="2"/>
      <c r="M732" s="2"/>
      <c r="N732" s="2"/>
      <c r="O732" s="2"/>
      <c r="P732" s="2"/>
      <c r="Q732" s="2"/>
      <c r="R732" s="2"/>
      <c r="S732" s="2"/>
      <c r="T732" s="2"/>
      <c r="U732" s="2"/>
      <c r="V732" s="2"/>
      <c r="W732" s="2"/>
      <c r="X732" s="2"/>
      <c r="Y732" s="2"/>
      <c r="Z732" s="2"/>
      <c r="AA732" s="2"/>
      <c r="AB732" s="2"/>
    </row>
    <row r="733" spans="1:28" ht="13">
      <c r="A733" s="2"/>
      <c r="B733" s="2"/>
      <c r="C733" s="2"/>
      <c r="D733" s="2"/>
      <c r="E733" s="2"/>
      <c r="F733" s="2"/>
      <c r="G733" s="43"/>
      <c r="H733" s="2"/>
      <c r="I733" s="2"/>
      <c r="J733" s="2"/>
      <c r="K733" s="2"/>
      <c r="L733" s="2"/>
      <c r="M733" s="2"/>
      <c r="N733" s="2"/>
      <c r="O733" s="2"/>
      <c r="P733" s="2"/>
      <c r="Q733" s="2"/>
      <c r="R733" s="2"/>
      <c r="S733" s="2"/>
      <c r="T733" s="2"/>
      <c r="U733" s="2"/>
      <c r="V733" s="2"/>
      <c r="W733" s="2"/>
      <c r="X733" s="2"/>
      <c r="Y733" s="2"/>
      <c r="Z733" s="2"/>
      <c r="AA733" s="2"/>
      <c r="AB733" s="2"/>
    </row>
    <row r="734" spans="1:28" ht="13">
      <c r="A734" s="2"/>
      <c r="B734" s="2"/>
      <c r="C734" s="2"/>
      <c r="D734" s="2"/>
      <c r="E734" s="2"/>
      <c r="F734" s="2"/>
      <c r="G734" s="43"/>
      <c r="H734" s="2"/>
      <c r="I734" s="2"/>
      <c r="J734" s="2"/>
      <c r="K734" s="2"/>
      <c r="L734" s="2"/>
      <c r="M734" s="2"/>
      <c r="N734" s="2"/>
      <c r="O734" s="2"/>
      <c r="P734" s="2"/>
      <c r="Q734" s="2"/>
      <c r="R734" s="2"/>
      <c r="S734" s="2"/>
      <c r="T734" s="2"/>
      <c r="U734" s="2"/>
      <c r="V734" s="2"/>
      <c r="W734" s="2"/>
      <c r="X734" s="2"/>
      <c r="Y734" s="2"/>
      <c r="Z734" s="2"/>
      <c r="AA734" s="2"/>
      <c r="AB734" s="2"/>
    </row>
    <row r="735" spans="1:28" ht="13">
      <c r="A735" s="2"/>
      <c r="B735" s="2"/>
      <c r="C735" s="2"/>
      <c r="D735" s="2"/>
      <c r="E735" s="2"/>
      <c r="F735" s="2"/>
      <c r="G735" s="43"/>
      <c r="H735" s="2"/>
      <c r="I735" s="2"/>
      <c r="J735" s="2"/>
      <c r="K735" s="2"/>
      <c r="L735" s="2"/>
      <c r="M735" s="2"/>
      <c r="N735" s="2"/>
      <c r="O735" s="2"/>
      <c r="P735" s="2"/>
      <c r="Q735" s="2"/>
      <c r="R735" s="2"/>
      <c r="S735" s="2"/>
      <c r="T735" s="2"/>
      <c r="U735" s="2"/>
      <c r="V735" s="2"/>
      <c r="W735" s="2"/>
      <c r="X735" s="2"/>
      <c r="Y735" s="2"/>
      <c r="Z735" s="2"/>
      <c r="AA735" s="2"/>
      <c r="AB735" s="2"/>
    </row>
    <row r="736" spans="1:28" ht="13">
      <c r="A736" s="2"/>
      <c r="B736" s="2"/>
      <c r="C736" s="2"/>
      <c r="D736" s="2"/>
      <c r="E736" s="2"/>
      <c r="F736" s="2"/>
      <c r="G736" s="43"/>
      <c r="H736" s="2"/>
      <c r="I736" s="2"/>
      <c r="J736" s="2"/>
      <c r="K736" s="2"/>
      <c r="L736" s="2"/>
      <c r="M736" s="2"/>
      <c r="N736" s="2"/>
      <c r="O736" s="2"/>
      <c r="P736" s="2"/>
      <c r="Q736" s="2"/>
      <c r="R736" s="2"/>
      <c r="S736" s="2"/>
      <c r="T736" s="2"/>
      <c r="U736" s="2"/>
      <c r="V736" s="2"/>
      <c r="W736" s="2"/>
      <c r="X736" s="2"/>
      <c r="Y736" s="2"/>
      <c r="Z736" s="2"/>
      <c r="AA736" s="2"/>
      <c r="AB736" s="2"/>
    </row>
    <row r="737" spans="1:28" ht="13">
      <c r="A737" s="2"/>
      <c r="B737" s="2"/>
      <c r="C737" s="2"/>
      <c r="D737" s="2"/>
      <c r="E737" s="2"/>
      <c r="F737" s="2"/>
      <c r="G737" s="43"/>
      <c r="H737" s="2"/>
      <c r="I737" s="2"/>
      <c r="J737" s="2"/>
      <c r="K737" s="2"/>
      <c r="L737" s="2"/>
      <c r="M737" s="2"/>
      <c r="N737" s="2"/>
      <c r="O737" s="2"/>
      <c r="P737" s="2"/>
      <c r="Q737" s="2"/>
      <c r="R737" s="2"/>
      <c r="S737" s="2"/>
      <c r="T737" s="2"/>
      <c r="U737" s="2"/>
      <c r="V737" s="2"/>
      <c r="W737" s="2"/>
      <c r="X737" s="2"/>
      <c r="Y737" s="2"/>
      <c r="Z737" s="2"/>
      <c r="AA737" s="2"/>
      <c r="AB737" s="2"/>
    </row>
    <row r="738" spans="1:28" ht="13">
      <c r="A738" s="2"/>
      <c r="B738" s="2"/>
      <c r="C738" s="2"/>
      <c r="D738" s="2"/>
      <c r="E738" s="2"/>
      <c r="F738" s="2"/>
      <c r="G738" s="43"/>
      <c r="H738" s="2"/>
      <c r="I738" s="2"/>
      <c r="J738" s="2"/>
      <c r="K738" s="2"/>
      <c r="L738" s="2"/>
      <c r="M738" s="2"/>
      <c r="N738" s="2"/>
      <c r="O738" s="2"/>
      <c r="P738" s="2"/>
      <c r="Q738" s="2"/>
      <c r="R738" s="2"/>
      <c r="S738" s="2"/>
      <c r="T738" s="2"/>
      <c r="U738" s="2"/>
      <c r="V738" s="2"/>
      <c r="W738" s="2"/>
      <c r="X738" s="2"/>
      <c r="Y738" s="2"/>
      <c r="Z738" s="2"/>
      <c r="AA738" s="2"/>
      <c r="AB738" s="2"/>
    </row>
    <row r="739" spans="1:28" ht="13">
      <c r="A739" s="2"/>
      <c r="B739" s="2"/>
      <c r="C739" s="2"/>
      <c r="D739" s="2"/>
      <c r="E739" s="2"/>
      <c r="F739" s="2"/>
      <c r="G739" s="43"/>
      <c r="H739" s="2"/>
      <c r="I739" s="2"/>
      <c r="J739" s="2"/>
      <c r="K739" s="2"/>
      <c r="L739" s="2"/>
      <c r="M739" s="2"/>
      <c r="N739" s="2"/>
      <c r="O739" s="2"/>
      <c r="P739" s="2"/>
      <c r="Q739" s="2"/>
      <c r="R739" s="2"/>
      <c r="S739" s="2"/>
      <c r="T739" s="2"/>
      <c r="U739" s="2"/>
      <c r="V739" s="2"/>
      <c r="W739" s="2"/>
      <c r="X739" s="2"/>
      <c r="Y739" s="2"/>
      <c r="Z739" s="2"/>
      <c r="AA739" s="2"/>
      <c r="AB739" s="2"/>
    </row>
    <row r="740" spans="1:28" ht="13">
      <c r="A740" s="2"/>
      <c r="B740" s="2"/>
      <c r="C740" s="2"/>
      <c r="D740" s="2"/>
      <c r="E740" s="2"/>
      <c r="F740" s="2"/>
      <c r="G740" s="43"/>
      <c r="H740" s="2"/>
      <c r="I740" s="2"/>
      <c r="J740" s="2"/>
      <c r="K740" s="2"/>
      <c r="L740" s="2"/>
      <c r="M740" s="2"/>
      <c r="N740" s="2"/>
      <c r="O740" s="2"/>
      <c r="P740" s="2"/>
      <c r="Q740" s="2"/>
      <c r="R740" s="2"/>
      <c r="S740" s="2"/>
      <c r="T740" s="2"/>
      <c r="U740" s="2"/>
      <c r="V740" s="2"/>
      <c r="W740" s="2"/>
      <c r="X740" s="2"/>
      <c r="Y740" s="2"/>
      <c r="Z740" s="2"/>
      <c r="AA740" s="2"/>
      <c r="AB740" s="2"/>
    </row>
    <row r="741" spans="1:28" ht="13">
      <c r="A741" s="2"/>
      <c r="B741" s="2"/>
      <c r="C741" s="2"/>
      <c r="D741" s="2"/>
      <c r="E741" s="2"/>
      <c r="F741" s="2"/>
      <c r="G741" s="43"/>
      <c r="H741" s="2"/>
      <c r="I741" s="2"/>
      <c r="J741" s="2"/>
      <c r="K741" s="2"/>
      <c r="L741" s="2"/>
      <c r="M741" s="2"/>
      <c r="N741" s="2"/>
      <c r="O741" s="2"/>
      <c r="P741" s="2"/>
      <c r="Q741" s="2"/>
      <c r="R741" s="2"/>
      <c r="S741" s="2"/>
      <c r="T741" s="2"/>
      <c r="U741" s="2"/>
      <c r="V741" s="2"/>
      <c r="W741" s="2"/>
      <c r="X741" s="2"/>
      <c r="Y741" s="2"/>
      <c r="Z741" s="2"/>
      <c r="AA741" s="2"/>
      <c r="AB741" s="2"/>
    </row>
    <row r="742" spans="1:28" ht="13">
      <c r="A742" s="2"/>
      <c r="B742" s="2"/>
      <c r="C742" s="2"/>
      <c r="D742" s="2"/>
      <c r="E742" s="2"/>
      <c r="F742" s="2"/>
      <c r="G742" s="43"/>
      <c r="H742" s="2"/>
      <c r="I742" s="2"/>
      <c r="J742" s="2"/>
      <c r="K742" s="2"/>
      <c r="L742" s="2"/>
      <c r="M742" s="2"/>
      <c r="N742" s="2"/>
      <c r="O742" s="2"/>
      <c r="P742" s="2"/>
      <c r="Q742" s="2"/>
      <c r="R742" s="2"/>
      <c r="S742" s="2"/>
      <c r="T742" s="2"/>
      <c r="U742" s="2"/>
      <c r="V742" s="2"/>
      <c r="W742" s="2"/>
      <c r="X742" s="2"/>
      <c r="Y742" s="2"/>
      <c r="Z742" s="2"/>
      <c r="AA742" s="2"/>
      <c r="AB742" s="2"/>
    </row>
    <row r="743" spans="1:28" ht="13">
      <c r="A743" s="2"/>
      <c r="B743" s="2"/>
      <c r="C743" s="2"/>
      <c r="D743" s="2"/>
      <c r="E743" s="2"/>
      <c r="F743" s="2"/>
      <c r="G743" s="43"/>
      <c r="H743" s="2"/>
      <c r="I743" s="2"/>
      <c r="J743" s="2"/>
      <c r="K743" s="2"/>
      <c r="L743" s="2"/>
      <c r="M743" s="2"/>
      <c r="N743" s="2"/>
      <c r="O743" s="2"/>
      <c r="P743" s="2"/>
      <c r="Q743" s="2"/>
      <c r="R743" s="2"/>
      <c r="S743" s="2"/>
      <c r="T743" s="2"/>
      <c r="U743" s="2"/>
      <c r="V743" s="2"/>
      <c r="W743" s="2"/>
      <c r="X743" s="2"/>
      <c r="Y743" s="2"/>
      <c r="Z743" s="2"/>
      <c r="AA743" s="2"/>
      <c r="AB743" s="2"/>
    </row>
    <row r="744" spans="1:28" ht="13">
      <c r="A744" s="2"/>
      <c r="B744" s="2"/>
      <c r="C744" s="2"/>
      <c r="D744" s="2"/>
      <c r="E744" s="2"/>
      <c r="F744" s="2"/>
      <c r="G744" s="43"/>
      <c r="H744" s="2"/>
      <c r="I744" s="2"/>
      <c r="J744" s="2"/>
      <c r="K744" s="2"/>
      <c r="L744" s="2"/>
      <c r="M744" s="2"/>
      <c r="N744" s="2"/>
      <c r="O744" s="2"/>
      <c r="P744" s="2"/>
      <c r="Q744" s="2"/>
      <c r="R744" s="2"/>
      <c r="S744" s="2"/>
      <c r="T744" s="2"/>
      <c r="U744" s="2"/>
      <c r="V744" s="2"/>
      <c r="W744" s="2"/>
      <c r="X744" s="2"/>
      <c r="Y744" s="2"/>
      <c r="Z744" s="2"/>
      <c r="AA744" s="2"/>
      <c r="AB744" s="2"/>
    </row>
    <row r="745" spans="1:28" ht="13">
      <c r="A745" s="2"/>
      <c r="B745" s="2"/>
      <c r="C745" s="2"/>
      <c r="D745" s="2"/>
      <c r="E745" s="2"/>
      <c r="F745" s="2"/>
      <c r="G745" s="43"/>
      <c r="H745" s="2"/>
      <c r="I745" s="2"/>
      <c r="J745" s="2"/>
      <c r="K745" s="2"/>
      <c r="L745" s="2"/>
      <c r="M745" s="2"/>
      <c r="N745" s="2"/>
      <c r="O745" s="2"/>
      <c r="P745" s="2"/>
      <c r="Q745" s="2"/>
      <c r="R745" s="2"/>
      <c r="S745" s="2"/>
      <c r="T745" s="2"/>
      <c r="U745" s="2"/>
      <c r="V745" s="2"/>
      <c r="W745" s="2"/>
      <c r="X745" s="2"/>
      <c r="Y745" s="2"/>
      <c r="Z745" s="2"/>
      <c r="AA745" s="2"/>
      <c r="AB745" s="2"/>
    </row>
    <row r="746" spans="1:28" ht="13">
      <c r="A746" s="2"/>
      <c r="B746" s="2"/>
      <c r="C746" s="2"/>
      <c r="D746" s="2"/>
      <c r="E746" s="2"/>
      <c r="F746" s="2"/>
      <c r="G746" s="43"/>
      <c r="H746" s="2"/>
      <c r="I746" s="2"/>
      <c r="J746" s="2"/>
      <c r="K746" s="2"/>
      <c r="L746" s="2"/>
      <c r="M746" s="2"/>
      <c r="N746" s="2"/>
      <c r="O746" s="2"/>
      <c r="P746" s="2"/>
      <c r="Q746" s="2"/>
      <c r="R746" s="2"/>
      <c r="S746" s="2"/>
      <c r="T746" s="2"/>
      <c r="U746" s="2"/>
      <c r="V746" s="2"/>
      <c r="W746" s="2"/>
      <c r="X746" s="2"/>
      <c r="Y746" s="2"/>
      <c r="Z746" s="2"/>
      <c r="AA746" s="2"/>
      <c r="AB746" s="2"/>
    </row>
    <row r="747" spans="1:28" ht="13">
      <c r="A747" s="2"/>
      <c r="B747" s="2"/>
      <c r="C747" s="2"/>
      <c r="D747" s="2"/>
      <c r="E747" s="2"/>
      <c r="F747" s="2"/>
      <c r="G747" s="43"/>
      <c r="H747" s="2"/>
      <c r="I747" s="2"/>
      <c r="J747" s="2"/>
      <c r="K747" s="2"/>
      <c r="L747" s="2"/>
      <c r="M747" s="2"/>
      <c r="N747" s="2"/>
      <c r="O747" s="2"/>
      <c r="P747" s="2"/>
      <c r="Q747" s="2"/>
      <c r="R747" s="2"/>
      <c r="S747" s="2"/>
      <c r="T747" s="2"/>
      <c r="U747" s="2"/>
      <c r="V747" s="2"/>
      <c r="W747" s="2"/>
      <c r="X747" s="2"/>
      <c r="Y747" s="2"/>
      <c r="Z747" s="2"/>
      <c r="AA747" s="2"/>
      <c r="AB747" s="2"/>
    </row>
    <row r="748" spans="1:28" ht="13">
      <c r="A748" s="2"/>
      <c r="B748" s="2"/>
      <c r="C748" s="2"/>
      <c r="D748" s="2"/>
      <c r="E748" s="2"/>
      <c r="F748" s="2"/>
      <c r="G748" s="43"/>
      <c r="H748" s="2"/>
      <c r="I748" s="2"/>
      <c r="J748" s="2"/>
      <c r="K748" s="2"/>
      <c r="L748" s="2"/>
      <c r="M748" s="2"/>
      <c r="N748" s="2"/>
      <c r="O748" s="2"/>
      <c r="P748" s="2"/>
      <c r="Q748" s="2"/>
      <c r="R748" s="2"/>
      <c r="S748" s="2"/>
      <c r="T748" s="2"/>
      <c r="U748" s="2"/>
      <c r="V748" s="2"/>
      <c r="W748" s="2"/>
      <c r="X748" s="2"/>
      <c r="Y748" s="2"/>
      <c r="Z748" s="2"/>
      <c r="AA748" s="2"/>
      <c r="AB748" s="2"/>
    </row>
    <row r="749" spans="1:28" ht="13">
      <c r="A749" s="2"/>
      <c r="B749" s="2"/>
      <c r="C749" s="2"/>
      <c r="D749" s="2"/>
      <c r="E749" s="2"/>
      <c r="F749" s="2"/>
      <c r="G749" s="43"/>
      <c r="H749" s="2"/>
      <c r="I749" s="2"/>
      <c r="J749" s="2"/>
      <c r="K749" s="2"/>
      <c r="L749" s="2"/>
      <c r="M749" s="2"/>
      <c r="N749" s="2"/>
      <c r="O749" s="2"/>
      <c r="P749" s="2"/>
      <c r="Q749" s="2"/>
      <c r="R749" s="2"/>
      <c r="S749" s="2"/>
      <c r="T749" s="2"/>
      <c r="U749" s="2"/>
      <c r="V749" s="2"/>
      <c r="W749" s="2"/>
      <c r="X749" s="2"/>
      <c r="Y749" s="2"/>
      <c r="Z749" s="2"/>
      <c r="AA749" s="2"/>
      <c r="AB749" s="2"/>
    </row>
    <row r="750" spans="1:28" ht="13">
      <c r="A750" s="2"/>
      <c r="B750" s="2"/>
      <c r="C750" s="2"/>
      <c r="D750" s="2"/>
      <c r="E750" s="2"/>
      <c r="F750" s="2"/>
      <c r="G750" s="43"/>
      <c r="H750" s="2"/>
      <c r="I750" s="2"/>
      <c r="J750" s="2"/>
      <c r="K750" s="2"/>
      <c r="L750" s="2"/>
      <c r="M750" s="2"/>
      <c r="N750" s="2"/>
      <c r="O750" s="2"/>
      <c r="P750" s="2"/>
      <c r="Q750" s="2"/>
      <c r="R750" s="2"/>
      <c r="S750" s="2"/>
      <c r="T750" s="2"/>
      <c r="U750" s="2"/>
      <c r="V750" s="2"/>
      <c r="W750" s="2"/>
      <c r="X750" s="2"/>
      <c r="Y750" s="2"/>
      <c r="Z750" s="2"/>
      <c r="AA750" s="2"/>
      <c r="AB750" s="2"/>
    </row>
    <row r="751" spans="1:28" ht="13">
      <c r="A751" s="2"/>
      <c r="B751" s="2"/>
      <c r="C751" s="2"/>
      <c r="D751" s="2"/>
      <c r="E751" s="2"/>
      <c r="F751" s="2"/>
      <c r="G751" s="43"/>
      <c r="H751" s="2"/>
      <c r="I751" s="2"/>
      <c r="J751" s="2"/>
      <c r="K751" s="2"/>
      <c r="L751" s="2"/>
      <c r="M751" s="2"/>
      <c r="N751" s="2"/>
      <c r="O751" s="2"/>
      <c r="P751" s="2"/>
      <c r="Q751" s="2"/>
      <c r="R751" s="2"/>
      <c r="S751" s="2"/>
      <c r="T751" s="2"/>
      <c r="U751" s="2"/>
      <c r="V751" s="2"/>
      <c r="W751" s="2"/>
      <c r="X751" s="2"/>
      <c r="Y751" s="2"/>
      <c r="Z751" s="2"/>
      <c r="AA751" s="2"/>
      <c r="AB751" s="2"/>
    </row>
    <row r="752" spans="1:28" ht="13">
      <c r="A752" s="2"/>
      <c r="B752" s="2"/>
      <c r="C752" s="2"/>
      <c r="D752" s="2"/>
      <c r="E752" s="2"/>
      <c r="F752" s="2"/>
      <c r="G752" s="43"/>
      <c r="H752" s="2"/>
      <c r="I752" s="2"/>
      <c r="J752" s="2"/>
      <c r="K752" s="2"/>
      <c r="L752" s="2"/>
      <c r="M752" s="2"/>
      <c r="N752" s="2"/>
      <c r="O752" s="2"/>
      <c r="P752" s="2"/>
      <c r="Q752" s="2"/>
      <c r="R752" s="2"/>
      <c r="S752" s="2"/>
      <c r="T752" s="2"/>
      <c r="U752" s="2"/>
      <c r="V752" s="2"/>
      <c r="W752" s="2"/>
      <c r="X752" s="2"/>
      <c r="Y752" s="2"/>
      <c r="Z752" s="2"/>
      <c r="AA752" s="2"/>
      <c r="AB752" s="2"/>
    </row>
    <row r="753" spans="1:28" ht="13">
      <c r="A753" s="2"/>
      <c r="B753" s="2"/>
      <c r="C753" s="2"/>
      <c r="D753" s="2"/>
      <c r="E753" s="2"/>
      <c r="F753" s="2"/>
      <c r="G753" s="43"/>
      <c r="H753" s="2"/>
      <c r="I753" s="2"/>
      <c r="J753" s="2"/>
      <c r="K753" s="2"/>
      <c r="L753" s="2"/>
      <c r="M753" s="2"/>
      <c r="N753" s="2"/>
      <c r="O753" s="2"/>
      <c r="P753" s="2"/>
      <c r="Q753" s="2"/>
      <c r="R753" s="2"/>
      <c r="S753" s="2"/>
      <c r="T753" s="2"/>
      <c r="U753" s="2"/>
      <c r="V753" s="2"/>
      <c r="W753" s="2"/>
      <c r="X753" s="2"/>
      <c r="Y753" s="2"/>
      <c r="Z753" s="2"/>
      <c r="AA753" s="2"/>
      <c r="AB753" s="2"/>
    </row>
    <row r="754" spans="1:28" ht="13">
      <c r="A754" s="2"/>
      <c r="B754" s="2"/>
      <c r="C754" s="2"/>
      <c r="D754" s="2"/>
      <c r="E754" s="2"/>
      <c r="F754" s="2"/>
      <c r="G754" s="43"/>
      <c r="H754" s="2"/>
      <c r="I754" s="2"/>
      <c r="J754" s="2"/>
      <c r="K754" s="2"/>
      <c r="L754" s="2"/>
      <c r="M754" s="2"/>
      <c r="N754" s="2"/>
      <c r="O754" s="2"/>
      <c r="P754" s="2"/>
      <c r="Q754" s="2"/>
      <c r="R754" s="2"/>
      <c r="S754" s="2"/>
      <c r="T754" s="2"/>
      <c r="U754" s="2"/>
      <c r="V754" s="2"/>
      <c r="W754" s="2"/>
      <c r="X754" s="2"/>
      <c r="Y754" s="2"/>
      <c r="Z754" s="2"/>
      <c r="AA754" s="2"/>
      <c r="AB754" s="2"/>
    </row>
    <row r="755" spans="1:28" ht="13">
      <c r="A755" s="2"/>
      <c r="B755" s="2"/>
      <c r="C755" s="2"/>
      <c r="D755" s="2"/>
      <c r="E755" s="2"/>
      <c r="F755" s="2"/>
      <c r="G755" s="43"/>
      <c r="H755" s="2"/>
      <c r="I755" s="2"/>
      <c r="J755" s="2"/>
      <c r="K755" s="2"/>
      <c r="L755" s="2"/>
      <c r="M755" s="2"/>
      <c r="N755" s="2"/>
      <c r="O755" s="2"/>
      <c r="P755" s="2"/>
      <c r="Q755" s="2"/>
      <c r="R755" s="2"/>
      <c r="S755" s="2"/>
      <c r="T755" s="2"/>
      <c r="U755" s="2"/>
      <c r="V755" s="2"/>
      <c r="W755" s="2"/>
      <c r="X755" s="2"/>
      <c r="Y755" s="2"/>
      <c r="Z755" s="2"/>
      <c r="AA755" s="2"/>
      <c r="AB755" s="2"/>
    </row>
    <row r="756" spans="1:28" ht="13">
      <c r="A756" s="2"/>
      <c r="B756" s="2"/>
      <c r="C756" s="2"/>
      <c r="D756" s="2"/>
      <c r="E756" s="2"/>
      <c r="F756" s="2"/>
      <c r="G756" s="43"/>
      <c r="H756" s="2"/>
      <c r="I756" s="2"/>
      <c r="J756" s="2"/>
      <c r="K756" s="2"/>
      <c r="L756" s="2"/>
      <c r="M756" s="2"/>
      <c r="N756" s="2"/>
      <c r="O756" s="2"/>
      <c r="P756" s="2"/>
      <c r="Q756" s="2"/>
      <c r="R756" s="2"/>
      <c r="S756" s="2"/>
      <c r="T756" s="2"/>
      <c r="U756" s="2"/>
      <c r="V756" s="2"/>
      <c r="W756" s="2"/>
      <c r="X756" s="2"/>
      <c r="Y756" s="2"/>
      <c r="Z756" s="2"/>
      <c r="AA756" s="2"/>
      <c r="AB756" s="2"/>
    </row>
    <row r="757" spans="1:28" ht="13">
      <c r="A757" s="2"/>
      <c r="B757" s="2"/>
      <c r="C757" s="2"/>
      <c r="D757" s="2"/>
      <c r="E757" s="2"/>
      <c r="F757" s="2"/>
      <c r="G757" s="43"/>
      <c r="H757" s="2"/>
      <c r="I757" s="2"/>
      <c r="J757" s="2"/>
      <c r="K757" s="2"/>
      <c r="L757" s="2"/>
      <c r="M757" s="2"/>
      <c r="N757" s="2"/>
      <c r="O757" s="2"/>
      <c r="P757" s="2"/>
      <c r="Q757" s="2"/>
      <c r="R757" s="2"/>
      <c r="S757" s="2"/>
      <c r="T757" s="2"/>
      <c r="U757" s="2"/>
      <c r="V757" s="2"/>
      <c r="W757" s="2"/>
      <c r="X757" s="2"/>
      <c r="Y757" s="2"/>
      <c r="Z757" s="2"/>
      <c r="AA757" s="2"/>
      <c r="AB757" s="2"/>
    </row>
    <row r="758" spans="1:28" ht="13">
      <c r="A758" s="2"/>
      <c r="B758" s="2"/>
      <c r="C758" s="2"/>
      <c r="D758" s="2"/>
      <c r="E758" s="2"/>
      <c r="F758" s="2"/>
      <c r="G758" s="43"/>
      <c r="H758" s="2"/>
      <c r="I758" s="2"/>
      <c r="J758" s="2"/>
      <c r="K758" s="2"/>
      <c r="L758" s="2"/>
      <c r="M758" s="2"/>
      <c r="N758" s="2"/>
      <c r="O758" s="2"/>
      <c r="P758" s="2"/>
      <c r="Q758" s="2"/>
      <c r="R758" s="2"/>
      <c r="S758" s="2"/>
      <c r="T758" s="2"/>
      <c r="U758" s="2"/>
      <c r="V758" s="2"/>
      <c r="W758" s="2"/>
      <c r="X758" s="2"/>
      <c r="Y758" s="2"/>
      <c r="Z758" s="2"/>
      <c r="AA758" s="2"/>
      <c r="AB758" s="2"/>
    </row>
    <row r="759" spans="1:28" ht="13">
      <c r="A759" s="2"/>
      <c r="B759" s="2"/>
      <c r="C759" s="2"/>
      <c r="D759" s="2"/>
      <c r="E759" s="2"/>
      <c r="F759" s="2"/>
      <c r="G759" s="43"/>
      <c r="H759" s="2"/>
      <c r="I759" s="2"/>
      <c r="J759" s="2"/>
      <c r="K759" s="2"/>
      <c r="L759" s="2"/>
      <c r="M759" s="2"/>
      <c r="N759" s="2"/>
      <c r="O759" s="2"/>
      <c r="P759" s="2"/>
      <c r="Q759" s="2"/>
      <c r="R759" s="2"/>
      <c r="S759" s="2"/>
      <c r="T759" s="2"/>
      <c r="U759" s="2"/>
      <c r="V759" s="2"/>
      <c r="W759" s="2"/>
      <c r="X759" s="2"/>
      <c r="Y759" s="2"/>
      <c r="Z759" s="2"/>
      <c r="AA759" s="2"/>
      <c r="AB759" s="2"/>
    </row>
    <row r="760" spans="1:28" ht="13">
      <c r="A760" s="2"/>
      <c r="B760" s="2"/>
      <c r="C760" s="2"/>
      <c r="D760" s="2"/>
      <c r="E760" s="2"/>
      <c r="F760" s="2"/>
      <c r="G760" s="43"/>
      <c r="H760" s="2"/>
      <c r="I760" s="2"/>
      <c r="J760" s="2"/>
      <c r="K760" s="2"/>
      <c r="L760" s="2"/>
      <c r="M760" s="2"/>
      <c r="N760" s="2"/>
      <c r="O760" s="2"/>
      <c r="P760" s="2"/>
      <c r="Q760" s="2"/>
      <c r="R760" s="2"/>
      <c r="S760" s="2"/>
      <c r="T760" s="2"/>
      <c r="U760" s="2"/>
      <c r="V760" s="2"/>
      <c r="W760" s="2"/>
      <c r="X760" s="2"/>
      <c r="Y760" s="2"/>
      <c r="Z760" s="2"/>
      <c r="AA760" s="2"/>
      <c r="AB760" s="2"/>
    </row>
    <row r="761" spans="1:28" ht="13">
      <c r="A761" s="2"/>
      <c r="B761" s="2"/>
      <c r="C761" s="2"/>
      <c r="D761" s="2"/>
      <c r="E761" s="2"/>
      <c r="F761" s="2"/>
      <c r="G761" s="43"/>
      <c r="H761" s="2"/>
      <c r="I761" s="2"/>
      <c r="J761" s="2"/>
      <c r="K761" s="2"/>
      <c r="L761" s="2"/>
      <c r="M761" s="2"/>
      <c r="N761" s="2"/>
      <c r="O761" s="2"/>
      <c r="P761" s="2"/>
      <c r="Q761" s="2"/>
      <c r="R761" s="2"/>
      <c r="S761" s="2"/>
      <c r="T761" s="2"/>
      <c r="U761" s="2"/>
      <c r="V761" s="2"/>
      <c r="W761" s="2"/>
      <c r="X761" s="2"/>
      <c r="Y761" s="2"/>
      <c r="Z761" s="2"/>
      <c r="AA761" s="2"/>
      <c r="AB761" s="2"/>
    </row>
    <row r="762" spans="1:28" ht="13">
      <c r="A762" s="2"/>
      <c r="B762" s="2"/>
      <c r="C762" s="2"/>
      <c r="D762" s="2"/>
      <c r="E762" s="2"/>
      <c r="F762" s="2"/>
      <c r="G762" s="43"/>
      <c r="H762" s="2"/>
      <c r="I762" s="2"/>
      <c r="J762" s="2"/>
      <c r="K762" s="2"/>
      <c r="L762" s="2"/>
      <c r="M762" s="2"/>
      <c r="N762" s="2"/>
      <c r="O762" s="2"/>
      <c r="P762" s="2"/>
      <c r="Q762" s="2"/>
      <c r="R762" s="2"/>
      <c r="S762" s="2"/>
      <c r="T762" s="2"/>
      <c r="U762" s="2"/>
      <c r="V762" s="2"/>
      <c r="W762" s="2"/>
      <c r="X762" s="2"/>
      <c r="Y762" s="2"/>
      <c r="Z762" s="2"/>
      <c r="AA762" s="2"/>
      <c r="AB762" s="2"/>
    </row>
    <row r="763" spans="1:28" ht="13">
      <c r="A763" s="2"/>
      <c r="B763" s="2"/>
      <c r="C763" s="2"/>
      <c r="D763" s="2"/>
      <c r="E763" s="2"/>
      <c r="F763" s="2"/>
      <c r="G763" s="43"/>
      <c r="H763" s="2"/>
      <c r="I763" s="2"/>
      <c r="J763" s="2"/>
      <c r="K763" s="2"/>
      <c r="L763" s="2"/>
      <c r="M763" s="2"/>
      <c r="N763" s="2"/>
      <c r="O763" s="2"/>
      <c r="P763" s="2"/>
      <c r="Q763" s="2"/>
      <c r="R763" s="2"/>
      <c r="S763" s="2"/>
      <c r="T763" s="2"/>
      <c r="U763" s="2"/>
      <c r="V763" s="2"/>
      <c r="W763" s="2"/>
      <c r="X763" s="2"/>
      <c r="Y763" s="2"/>
      <c r="Z763" s="2"/>
      <c r="AA763" s="2"/>
      <c r="AB763" s="2"/>
    </row>
    <row r="764" spans="1:28" ht="13">
      <c r="A764" s="2"/>
      <c r="B764" s="2"/>
      <c r="C764" s="2"/>
      <c r="D764" s="2"/>
      <c r="E764" s="2"/>
      <c r="F764" s="2"/>
      <c r="G764" s="43"/>
      <c r="H764" s="2"/>
      <c r="I764" s="2"/>
      <c r="J764" s="2"/>
      <c r="K764" s="2"/>
      <c r="L764" s="2"/>
      <c r="M764" s="2"/>
      <c r="N764" s="2"/>
      <c r="O764" s="2"/>
      <c r="P764" s="2"/>
      <c r="Q764" s="2"/>
      <c r="R764" s="2"/>
      <c r="S764" s="2"/>
      <c r="T764" s="2"/>
      <c r="U764" s="2"/>
      <c r="V764" s="2"/>
      <c r="W764" s="2"/>
      <c r="X764" s="2"/>
      <c r="Y764" s="2"/>
      <c r="Z764" s="2"/>
      <c r="AA764" s="2"/>
      <c r="AB764" s="2"/>
    </row>
    <row r="765" spans="1:28" ht="13">
      <c r="A765" s="2"/>
      <c r="B765" s="2"/>
      <c r="C765" s="2"/>
      <c r="D765" s="2"/>
      <c r="E765" s="2"/>
      <c r="F765" s="2"/>
      <c r="G765" s="43"/>
      <c r="H765" s="2"/>
      <c r="I765" s="2"/>
      <c r="J765" s="2"/>
      <c r="K765" s="2"/>
      <c r="L765" s="2"/>
      <c r="M765" s="2"/>
      <c r="N765" s="2"/>
      <c r="O765" s="2"/>
      <c r="P765" s="2"/>
      <c r="Q765" s="2"/>
      <c r="R765" s="2"/>
      <c r="S765" s="2"/>
      <c r="T765" s="2"/>
      <c r="U765" s="2"/>
      <c r="V765" s="2"/>
      <c r="W765" s="2"/>
      <c r="X765" s="2"/>
      <c r="Y765" s="2"/>
      <c r="Z765" s="2"/>
      <c r="AA765" s="2"/>
      <c r="AB765" s="2"/>
    </row>
    <row r="766" spans="1:28" ht="13">
      <c r="A766" s="2"/>
      <c r="B766" s="2"/>
      <c r="C766" s="2"/>
      <c r="D766" s="2"/>
      <c r="E766" s="2"/>
      <c r="F766" s="2"/>
      <c r="G766" s="43"/>
      <c r="H766" s="2"/>
      <c r="I766" s="2"/>
      <c r="J766" s="2"/>
      <c r="K766" s="2"/>
      <c r="L766" s="2"/>
      <c r="M766" s="2"/>
      <c r="N766" s="2"/>
      <c r="O766" s="2"/>
      <c r="P766" s="2"/>
      <c r="Q766" s="2"/>
      <c r="R766" s="2"/>
      <c r="S766" s="2"/>
      <c r="T766" s="2"/>
      <c r="U766" s="2"/>
      <c r="V766" s="2"/>
      <c r="W766" s="2"/>
      <c r="X766" s="2"/>
      <c r="Y766" s="2"/>
      <c r="Z766" s="2"/>
      <c r="AA766" s="2"/>
      <c r="AB766" s="2"/>
    </row>
    <row r="767" spans="1:28" ht="13">
      <c r="A767" s="2"/>
      <c r="B767" s="2"/>
      <c r="C767" s="2"/>
      <c r="D767" s="2"/>
      <c r="E767" s="2"/>
      <c r="F767" s="2"/>
      <c r="G767" s="43"/>
      <c r="H767" s="2"/>
      <c r="I767" s="2"/>
      <c r="J767" s="2"/>
      <c r="K767" s="2"/>
      <c r="L767" s="2"/>
      <c r="M767" s="2"/>
      <c r="N767" s="2"/>
      <c r="O767" s="2"/>
      <c r="P767" s="2"/>
      <c r="Q767" s="2"/>
      <c r="R767" s="2"/>
      <c r="S767" s="2"/>
      <c r="T767" s="2"/>
      <c r="U767" s="2"/>
      <c r="V767" s="2"/>
      <c r="W767" s="2"/>
      <c r="X767" s="2"/>
      <c r="Y767" s="2"/>
      <c r="Z767" s="2"/>
      <c r="AA767" s="2"/>
      <c r="AB767" s="2"/>
    </row>
    <row r="768" spans="1:28" ht="13">
      <c r="A768" s="2"/>
      <c r="B768" s="2"/>
      <c r="C768" s="2"/>
      <c r="D768" s="2"/>
      <c r="E768" s="2"/>
      <c r="F768" s="2"/>
      <c r="G768" s="43"/>
      <c r="H768" s="2"/>
      <c r="I768" s="2"/>
      <c r="J768" s="2"/>
      <c r="K768" s="2"/>
      <c r="L768" s="2"/>
      <c r="M768" s="2"/>
      <c r="N768" s="2"/>
      <c r="O768" s="2"/>
      <c r="P768" s="2"/>
      <c r="Q768" s="2"/>
      <c r="R768" s="2"/>
      <c r="S768" s="2"/>
      <c r="T768" s="2"/>
      <c r="U768" s="2"/>
      <c r="V768" s="2"/>
      <c r="W768" s="2"/>
      <c r="X768" s="2"/>
      <c r="Y768" s="2"/>
      <c r="Z768" s="2"/>
      <c r="AA768" s="2"/>
      <c r="AB768" s="2"/>
    </row>
    <row r="769" spans="1:28" ht="13">
      <c r="A769" s="2"/>
      <c r="B769" s="2"/>
      <c r="C769" s="2"/>
      <c r="D769" s="2"/>
      <c r="E769" s="2"/>
      <c r="F769" s="2"/>
      <c r="G769" s="43"/>
      <c r="H769" s="2"/>
      <c r="I769" s="2"/>
      <c r="J769" s="2"/>
      <c r="K769" s="2"/>
      <c r="L769" s="2"/>
      <c r="M769" s="2"/>
      <c r="N769" s="2"/>
      <c r="O769" s="2"/>
      <c r="P769" s="2"/>
      <c r="Q769" s="2"/>
      <c r="R769" s="2"/>
      <c r="S769" s="2"/>
      <c r="T769" s="2"/>
      <c r="U769" s="2"/>
      <c r="V769" s="2"/>
      <c r="W769" s="2"/>
      <c r="X769" s="2"/>
      <c r="Y769" s="2"/>
      <c r="Z769" s="2"/>
      <c r="AA769" s="2"/>
      <c r="AB769" s="2"/>
    </row>
    <row r="770" spans="1:28" ht="13">
      <c r="A770" s="2"/>
      <c r="B770" s="2"/>
      <c r="C770" s="2"/>
      <c r="D770" s="2"/>
      <c r="E770" s="2"/>
      <c r="F770" s="2"/>
      <c r="G770" s="43"/>
      <c r="H770" s="2"/>
      <c r="I770" s="2"/>
      <c r="J770" s="2"/>
      <c r="K770" s="2"/>
      <c r="L770" s="2"/>
      <c r="M770" s="2"/>
      <c r="N770" s="2"/>
      <c r="O770" s="2"/>
      <c r="P770" s="2"/>
      <c r="Q770" s="2"/>
      <c r="R770" s="2"/>
      <c r="S770" s="2"/>
      <c r="T770" s="2"/>
      <c r="U770" s="2"/>
      <c r="V770" s="2"/>
      <c r="W770" s="2"/>
      <c r="X770" s="2"/>
      <c r="Y770" s="2"/>
      <c r="Z770" s="2"/>
      <c r="AA770" s="2"/>
      <c r="AB770" s="2"/>
    </row>
    <row r="771" spans="1:28" ht="13">
      <c r="A771" s="2"/>
      <c r="B771" s="2"/>
      <c r="C771" s="2"/>
      <c r="D771" s="2"/>
      <c r="E771" s="2"/>
      <c r="F771" s="2"/>
      <c r="G771" s="43"/>
      <c r="H771" s="2"/>
      <c r="I771" s="2"/>
      <c r="J771" s="2"/>
      <c r="K771" s="2"/>
      <c r="L771" s="2"/>
      <c r="M771" s="2"/>
      <c r="N771" s="2"/>
      <c r="O771" s="2"/>
      <c r="P771" s="2"/>
      <c r="Q771" s="2"/>
      <c r="R771" s="2"/>
      <c r="S771" s="2"/>
      <c r="T771" s="2"/>
      <c r="U771" s="2"/>
      <c r="V771" s="2"/>
      <c r="W771" s="2"/>
      <c r="X771" s="2"/>
      <c r="Y771" s="2"/>
      <c r="Z771" s="2"/>
      <c r="AA771" s="2"/>
      <c r="AB771" s="2"/>
    </row>
    <row r="772" spans="1:28" ht="13">
      <c r="A772" s="2"/>
      <c r="B772" s="2"/>
      <c r="C772" s="2"/>
      <c r="D772" s="2"/>
      <c r="E772" s="2"/>
      <c r="F772" s="2"/>
      <c r="G772" s="43"/>
      <c r="H772" s="2"/>
      <c r="I772" s="2"/>
      <c r="J772" s="2"/>
      <c r="K772" s="2"/>
      <c r="L772" s="2"/>
      <c r="M772" s="2"/>
      <c r="N772" s="2"/>
      <c r="O772" s="2"/>
      <c r="P772" s="2"/>
      <c r="Q772" s="2"/>
      <c r="R772" s="2"/>
      <c r="S772" s="2"/>
      <c r="T772" s="2"/>
      <c r="U772" s="2"/>
      <c r="V772" s="2"/>
      <c r="W772" s="2"/>
      <c r="X772" s="2"/>
      <c r="Y772" s="2"/>
      <c r="Z772" s="2"/>
      <c r="AA772" s="2"/>
      <c r="AB772" s="2"/>
    </row>
    <row r="773" spans="1:28" ht="13">
      <c r="A773" s="2"/>
      <c r="B773" s="2"/>
      <c r="C773" s="2"/>
      <c r="D773" s="2"/>
      <c r="E773" s="2"/>
      <c r="F773" s="2"/>
      <c r="G773" s="43"/>
      <c r="H773" s="2"/>
      <c r="I773" s="2"/>
      <c r="J773" s="2"/>
      <c r="K773" s="2"/>
      <c r="L773" s="2"/>
      <c r="M773" s="2"/>
      <c r="N773" s="2"/>
      <c r="O773" s="2"/>
      <c r="P773" s="2"/>
      <c r="Q773" s="2"/>
      <c r="R773" s="2"/>
      <c r="S773" s="2"/>
      <c r="T773" s="2"/>
      <c r="U773" s="2"/>
      <c r="V773" s="2"/>
      <c r="W773" s="2"/>
      <c r="X773" s="2"/>
      <c r="Y773" s="2"/>
      <c r="Z773" s="2"/>
      <c r="AA773" s="2"/>
      <c r="AB773" s="2"/>
    </row>
    <row r="774" spans="1:28" ht="13">
      <c r="A774" s="2"/>
      <c r="B774" s="2"/>
      <c r="C774" s="2"/>
      <c r="D774" s="2"/>
      <c r="E774" s="2"/>
      <c r="F774" s="2"/>
      <c r="G774" s="43"/>
      <c r="H774" s="2"/>
      <c r="I774" s="2"/>
      <c r="J774" s="2"/>
      <c r="K774" s="2"/>
      <c r="L774" s="2"/>
      <c r="M774" s="2"/>
      <c r="N774" s="2"/>
      <c r="O774" s="2"/>
      <c r="P774" s="2"/>
      <c r="Q774" s="2"/>
      <c r="R774" s="2"/>
      <c r="S774" s="2"/>
      <c r="T774" s="2"/>
      <c r="U774" s="2"/>
      <c r="V774" s="2"/>
      <c r="W774" s="2"/>
      <c r="X774" s="2"/>
      <c r="Y774" s="2"/>
      <c r="Z774" s="2"/>
      <c r="AA774" s="2"/>
      <c r="AB774" s="2"/>
    </row>
    <row r="775" spans="1:28" ht="13">
      <c r="A775" s="2"/>
      <c r="B775" s="2"/>
      <c r="C775" s="2"/>
      <c r="D775" s="2"/>
      <c r="E775" s="2"/>
      <c r="F775" s="2"/>
      <c r="G775" s="43"/>
      <c r="H775" s="2"/>
      <c r="I775" s="2"/>
      <c r="J775" s="2"/>
      <c r="K775" s="2"/>
      <c r="L775" s="2"/>
      <c r="M775" s="2"/>
      <c r="N775" s="2"/>
      <c r="O775" s="2"/>
      <c r="P775" s="2"/>
      <c r="Q775" s="2"/>
      <c r="R775" s="2"/>
      <c r="S775" s="2"/>
      <c r="T775" s="2"/>
      <c r="U775" s="2"/>
      <c r="V775" s="2"/>
      <c r="W775" s="2"/>
      <c r="X775" s="2"/>
      <c r="Y775" s="2"/>
      <c r="Z775" s="2"/>
      <c r="AA775" s="2"/>
      <c r="AB775" s="2"/>
    </row>
    <row r="776" spans="1:28" ht="13">
      <c r="A776" s="2"/>
      <c r="B776" s="2"/>
      <c r="C776" s="2"/>
      <c r="D776" s="2"/>
      <c r="E776" s="2"/>
      <c r="F776" s="2"/>
      <c r="G776" s="43"/>
      <c r="H776" s="2"/>
      <c r="I776" s="2"/>
      <c r="J776" s="2"/>
      <c r="K776" s="2"/>
      <c r="L776" s="2"/>
      <c r="M776" s="2"/>
      <c r="N776" s="2"/>
      <c r="O776" s="2"/>
      <c r="P776" s="2"/>
      <c r="Q776" s="2"/>
      <c r="R776" s="2"/>
      <c r="S776" s="2"/>
      <c r="T776" s="2"/>
      <c r="U776" s="2"/>
      <c r="V776" s="2"/>
      <c r="W776" s="2"/>
      <c r="X776" s="2"/>
      <c r="Y776" s="2"/>
      <c r="Z776" s="2"/>
      <c r="AA776" s="2"/>
      <c r="AB776" s="2"/>
    </row>
    <row r="777" spans="1:28" ht="13">
      <c r="A777" s="2"/>
      <c r="B777" s="2"/>
      <c r="C777" s="2"/>
      <c r="D777" s="2"/>
      <c r="E777" s="2"/>
      <c r="F777" s="2"/>
      <c r="G777" s="43"/>
      <c r="H777" s="2"/>
      <c r="I777" s="2"/>
      <c r="J777" s="2"/>
      <c r="K777" s="2"/>
      <c r="L777" s="2"/>
      <c r="M777" s="2"/>
      <c r="N777" s="2"/>
      <c r="O777" s="2"/>
      <c r="P777" s="2"/>
      <c r="Q777" s="2"/>
      <c r="R777" s="2"/>
      <c r="S777" s="2"/>
      <c r="T777" s="2"/>
      <c r="U777" s="2"/>
      <c r="V777" s="2"/>
      <c r="W777" s="2"/>
      <c r="X777" s="2"/>
      <c r="Y777" s="2"/>
      <c r="Z777" s="2"/>
      <c r="AA777" s="2"/>
      <c r="AB777" s="2"/>
    </row>
    <row r="778" spans="1:28" ht="13">
      <c r="A778" s="2"/>
      <c r="B778" s="2"/>
      <c r="C778" s="2"/>
      <c r="D778" s="2"/>
      <c r="E778" s="2"/>
      <c r="F778" s="2"/>
      <c r="G778" s="43"/>
      <c r="H778" s="2"/>
      <c r="I778" s="2"/>
      <c r="J778" s="2"/>
      <c r="K778" s="2"/>
      <c r="L778" s="2"/>
      <c r="M778" s="2"/>
      <c r="N778" s="2"/>
      <c r="O778" s="2"/>
      <c r="P778" s="2"/>
      <c r="Q778" s="2"/>
      <c r="R778" s="2"/>
      <c r="S778" s="2"/>
      <c r="T778" s="2"/>
      <c r="U778" s="2"/>
      <c r="V778" s="2"/>
      <c r="W778" s="2"/>
      <c r="X778" s="2"/>
      <c r="Y778" s="2"/>
      <c r="Z778" s="2"/>
      <c r="AA778" s="2"/>
      <c r="AB778" s="2"/>
    </row>
    <row r="779" spans="1:28" ht="13">
      <c r="A779" s="2"/>
      <c r="B779" s="2"/>
      <c r="C779" s="2"/>
      <c r="D779" s="2"/>
      <c r="E779" s="2"/>
      <c r="F779" s="2"/>
      <c r="G779" s="43"/>
      <c r="H779" s="2"/>
      <c r="I779" s="2"/>
      <c r="J779" s="2"/>
      <c r="K779" s="2"/>
      <c r="L779" s="2"/>
      <c r="M779" s="2"/>
      <c r="N779" s="2"/>
      <c r="O779" s="2"/>
      <c r="P779" s="2"/>
      <c r="Q779" s="2"/>
      <c r="R779" s="2"/>
      <c r="S779" s="2"/>
      <c r="T779" s="2"/>
      <c r="U779" s="2"/>
      <c r="V779" s="2"/>
      <c r="W779" s="2"/>
      <c r="X779" s="2"/>
      <c r="Y779" s="2"/>
      <c r="Z779" s="2"/>
      <c r="AA779" s="2"/>
      <c r="AB779" s="2"/>
    </row>
    <row r="780" spans="1:28" ht="13">
      <c r="A780" s="2"/>
      <c r="B780" s="2"/>
      <c r="C780" s="2"/>
      <c r="D780" s="2"/>
      <c r="E780" s="2"/>
      <c r="F780" s="2"/>
      <c r="G780" s="43"/>
      <c r="H780" s="2"/>
      <c r="I780" s="2"/>
      <c r="J780" s="2"/>
      <c r="K780" s="2"/>
      <c r="L780" s="2"/>
      <c r="M780" s="2"/>
      <c r="N780" s="2"/>
      <c r="O780" s="2"/>
      <c r="P780" s="2"/>
      <c r="Q780" s="2"/>
      <c r="R780" s="2"/>
      <c r="S780" s="2"/>
      <c r="T780" s="2"/>
      <c r="U780" s="2"/>
      <c r="V780" s="2"/>
      <c r="W780" s="2"/>
      <c r="X780" s="2"/>
      <c r="Y780" s="2"/>
      <c r="Z780" s="2"/>
      <c r="AA780" s="2"/>
      <c r="AB780" s="2"/>
    </row>
    <row r="781" spans="1:28" ht="13">
      <c r="A781" s="2"/>
      <c r="B781" s="2"/>
      <c r="C781" s="2"/>
      <c r="D781" s="2"/>
      <c r="E781" s="2"/>
      <c r="F781" s="2"/>
      <c r="G781" s="43"/>
      <c r="H781" s="2"/>
      <c r="I781" s="2"/>
      <c r="J781" s="2"/>
      <c r="K781" s="2"/>
      <c r="L781" s="2"/>
      <c r="M781" s="2"/>
      <c r="N781" s="2"/>
      <c r="O781" s="2"/>
      <c r="P781" s="2"/>
      <c r="Q781" s="2"/>
      <c r="R781" s="2"/>
      <c r="S781" s="2"/>
      <c r="T781" s="2"/>
      <c r="U781" s="2"/>
      <c r="V781" s="2"/>
      <c r="W781" s="2"/>
      <c r="X781" s="2"/>
      <c r="Y781" s="2"/>
      <c r="Z781" s="2"/>
      <c r="AA781" s="2"/>
      <c r="AB781" s="2"/>
    </row>
    <row r="782" spans="1:28" ht="13">
      <c r="A782" s="2"/>
      <c r="B782" s="2"/>
      <c r="C782" s="2"/>
      <c r="D782" s="2"/>
      <c r="E782" s="2"/>
      <c r="F782" s="2"/>
      <c r="G782" s="43"/>
      <c r="H782" s="2"/>
      <c r="I782" s="2"/>
      <c r="J782" s="2"/>
      <c r="K782" s="2"/>
      <c r="L782" s="2"/>
      <c r="M782" s="2"/>
      <c r="N782" s="2"/>
      <c r="O782" s="2"/>
      <c r="P782" s="2"/>
      <c r="Q782" s="2"/>
      <c r="R782" s="2"/>
      <c r="S782" s="2"/>
      <c r="T782" s="2"/>
      <c r="U782" s="2"/>
      <c r="V782" s="2"/>
      <c r="W782" s="2"/>
      <c r="X782" s="2"/>
      <c r="Y782" s="2"/>
      <c r="Z782" s="2"/>
      <c r="AA782" s="2"/>
      <c r="AB782" s="2"/>
    </row>
    <row r="783" spans="1:28" ht="13">
      <c r="A783" s="2"/>
      <c r="B783" s="2"/>
      <c r="C783" s="2"/>
      <c r="D783" s="2"/>
      <c r="E783" s="2"/>
      <c r="F783" s="2"/>
      <c r="G783" s="43"/>
      <c r="H783" s="2"/>
      <c r="I783" s="2"/>
      <c r="J783" s="2"/>
      <c r="K783" s="2"/>
      <c r="L783" s="2"/>
      <c r="M783" s="2"/>
      <c r="N783" s="2"/>
      <c r="O783" s="2"/>
      <c r="P783" s="2"/>
      <c r="Q783" s="2"/>
      <c r="R783" s="2"/>
      <c r="S783" s="2"/>
      <c r="T783" s="2"/>
      <c r="U783" s="2"/>
      <c r="V783" s="2"/>
      <c r="W783" s="2"/>
      <c r="X783" s="2"/>
      <c r="Y783" s="2"/>
      <c r="Z783" s="2"/>
      <c r="AA783" s="2"/>
      <c r="AB783" s="2"/>
    </row>
    <row r="784" spans="1:28" ht="13">
      <c r="A784" s="2"/>
      <c r="B784" s="2"/>
      <c r="C784" s="2"/>
      <c r="D784" s="2"/>
      <c r="E784" s="2"/>
      <c r="F784" s="2"/>
      <c r="G784" s="43"/>
      <c r="H784" s="2"/>
      <c r="I784" s="2"/>
      <c r="J784" s="2"/>
      <c r="K784" s="2"/>
      <c r="L784" s="2"/>
      <c r="M784" s="2"/>
      <c r="N784" s="2"/>
      <c r="O784" s="2"/>
      <c r="P784" s="2"/>
      <c r="Q784" s="2"/>
      <c r="R784" s="2"/>
      <c r="S784" s="2"/>
      <c r="T784" s="2"/>
      <c r="U784" s="2"/>
      <c r="V784" s="2"/>
      <c r="W784" s="2"/>
      <c r="X784" s="2"/>
      <c r="Y784" s="2"/>
      <c r="Z784" s="2"/>
      <c r="AA784" s="2"/>
      <c r="AB784" s="2"/>
    </row>
    <row r="785" spans="1:28" ht="13">
      <c r="A785" s="2"/>
      <c r="B785" s="2"/>
      <c r="C785" s="2"/>
      <c r="D785" s="2"/>
      <c r="E785" s="2"/>
      <c r="F785" s="2"/>
      <c r="G785" s="43"/>
      <c r="H785" s="2"/>
      <c r="I785" s="2"/>
      <c r="J785" s="2"/>
      <c r="K785" s="2"/>
      <c r="L785" s="2"/>
      <c r="M785" s="2"/>
      <c r="N785" s="2"/>
      <c r="O785" s="2"/>
      <c r="P785" s="2"/>
      <c r="Q785" s="2"/>
      <c r="R785" s="2"/>
      <c r="S785" s="2"/>
      <c r="T785" s="2"/>
      <c r="U785" s="2"/>
      <c r="V785" s="2"/>
      <c r="W785" s="2"/>
      <c r="X785" s="2"/>
      <c r="Y785" s="2"/>
      <c r="Z785" s="2"/>
      <c r="AA785" s="2"/>
      <c r="AB785" s="2"/>
    </row>
    <row r="786" spans="1:28" ht="13">
      <c r="A786" s="2"/>
      <c r="B786" s="2"/>
      <c r="C786" s="2"/>
      <c r="D786" s="2"/>
      <c r="E786" s="2"/>
      <c r="F786" s="2"/>
      <c r="G786" s="43"/>
      <c r="H786" s="2"/>
      <c r="I786" s="2"/>
      <c r="J786" s="2"/>
      <c r="K786" s="2"/>
      <c r="L786" s="2"/>
      <c r="M786" s="2"/>
      <c r="N786" s="2"/>
      <c r="O786" s="2"/>
      <c r="P786" s="2"/>
      <c r="Q786" s="2"/>
      <c r="R786" s="2"/>
      <c r="S786" s="2"/>
      <c r="T786" s="2"/>
      <c r="U786" s="2"/>
      <c r="V786" s="2"/>
      <c r="W786" s="2"/>
      <c r="X786" s="2"/>
      <c r="Y786" s="2"/>
      <c r="Z786" s="2"/>
      <c r="AA786" s="2"/>
      <c r="AB786" s="2"/>
    </row>
    <row r="787" spans="1:28" ht="13">
      <c r="A787" s="2"/>
      <c r="B787" s="2"/>
      <c r="C787" s="2"/>
      <c r="D787" s="2"/>
      <c r="E787" s="2"/>
      <c r="F787" s="2"/>
      <c r="G787" s="43"/>
      <c r="H787" s="2"/>
      <c r="I787" s="2"/>
      <c r="J787" s="2"/>
      <c r="K787" s="2"/>
      <c r="L787" s="2"/>
      <c r="M787" s="2"/>
      <c r="N787" s="2"/>
      <c r="O787" s="2"/>
      <c r="P787" s="2"/>
      <c r="Q787" s="2"/>
      <c r="R787" s="2"/>
      <c r="S787" s="2"/>
      <c r="T787" s="2"/>
      <c r="U787" s="2"/>
      <c r="V787" s="2"/>
      <c r="W787" s="2"/>
      <c r="X787" s="2"/>
      <c r="Y787" s="2"/>
      <c r="Z787" s="2"/>
      <c r="AA787" s="2"/>
      <c r="AB787" s="2"/>
    </row>
    <row r="788" spans="1:28" ht="13">
      <c r="A788" s="2"/>
      <c r="B788" s="2"/>
      <c r="C788" s="2"/>
      <c r="D788" s="2"/>
      <c r="E788" s="2"/>
      <c r="F788" s="2"/>
      <c r="G788" s="43"/>
      <c r="H788" s="2"/>
      <c r="I788" s="2"/>
      <c r="J788" s="2"/>
      <c r="K788" s="2"/>
      <c r="L788" s="2"/>
      <c r="M788" s="2"/>
      <c r="N788" s="2"/>
      <c r="O788" s="2"/>
      <c r="P788" s="2"/>
      <c r="Q788" s="2"/>
      <c r="R788" s="2"/>
      <c r="S788" s="2"/>
      <c r="T788" s="2"/>
      <c r="U788" s="2"/>
      <c r="V788" s="2"/>
      <c r="W788" s="2"/>
      <c r="X788" s="2"/>
      <c r="Y788" s="2"/>
      <c r="Z788" s="2"/>
      <c r="AA788" s="2"/>
      <c r="AB788" s="2"/>
    </row>
    <row r="789" spans="1:28" ht="13">
      <c r="A789" s="2"/>
      <c r="B789" s="2"/>
      <c r="C789" s="2"/>
      <c r="D789" s="2"/>
      <c r="E789" s="2"/>
      <c r="F789" s="2"/>
      <c r="G789" s="43"/>
      <c r="H789" s="2"/>
      <c r="I789" s="2"/>
      <c r="J789" s="2"/>
      <c r="K789" s="2"/>
      <c r="L789" s="2"/>
      <c r="M789" s="2"/>
      <c r="N789" s="2"/>
      <c r="O789" s="2"/>
      <c r="P789" s="2"/>
      <c r="Q789" s="2"/>
      <c r="R789" s="2"/>
      <c r="S789" s="2"/>
      <c r="T789" s="2"/>
      <c r="U789" s="2"/>
      <c r="V789" s="2"/>
      <c r="W789" s="2"/>
      <c r="X789" s="2"/>
      <c r="Y789" s="2"/>
      <c r="Z789" s="2"/>
      <c r="AA789" s="2"/>
      <c r="AB789" s="2"/>
    </row>
    <row r="790" spans="1:28" ht="13">
      <c r="A790" s="2"/>
      <c r="B790" s="2"/>
      <c r="C790" s="2"/>
      <c r="D790" s="2"/>
      <c r="E790" s="2"/>
      <c r="F790" s="2"/>
      <c r="G790" s="43"/>
      <c r="H790" s="2"/>
      <c r="I790" s="2"/>
      <c r="J790" s="2"/>
      <c r="K790" s="2"/>
      <c r="L790" s="2"/>
      <c r="M790" s="2"/>
      <c r="N790" s="2"/>
      <c r="O790" s="2"/>
      <c r="P790" s="2"/>
      <c r="Q790" s="2"/>
      <c r="R790" s="2"/>
      <c r="S790" s="2"/>
      <c r="T790" s="2"/>
      <c r="U790" s="2"/>
      <c r="V790" s="2"/>
      <c r="W790" s="2"/>
      <c r="X790" s="2"/>
      <c r="Y790" s="2"/>
      <c r="Z790" s="2"/>
      <c r="AA790" s="2"/>
      <c r="AB790" s="2"/>
    </row>
    <row r="791" spans="1:28" ht="13">
      <c r="A791" s="2"/>
      <c r="B791" s="2"/>
      <c r="C791" s="2"/>
      <c r="D791" s="2"/>
      <c r="E791" s="2"/>
      <c r="F791" s="2"/>
      <c r="G791" s="43"/>
      <c r="H791" s="2"/>
      <c r="I791" s="2"/>
      <c r="J791" s="2"/>
      <c r="K791" s="2"/>
      <c r="L791" s="2"/>
      <c r="M791" s="2"/>
      <c r="N791" s="2"/>
      <c r="O791" s="2"/>
      <c r="P791" s="2"/>
      <c r="Q791" s="2"/>
      <c r="R791" s="2"/>
      <c r="S791" s="2"/>
      <c r="T791" s="2"/>
      <c r="U791" s="2"/>
      <c r="V791" s="2"/>
      <c r="W791" s="2"/>
      <c r="X791" s="2"/>
      <c r="Y791" s="2"/>
      <c r="Z791" s="2"/>
      <c r="AA791" s="2"/>
      <c r="AB791" s="2"/>
    </row>
    <row r="792" spans="1:28" ht="13">
      <c r="A792" s="2"/>
      <c r="B792" s="2"/>
      <c r="C792" s="2"/>
      <c r="D792" s="2"/>
      <c r="E792" s="2"/>
      <c r="F792" s="2"/>
      <c r="G792" s="43"/>
      <c r="H792" s="2"/>
      <c r="I792" s="2"/>
      <c r="J792" s="2"/>
      <c r="K792" s="2"/>
      <c r="L792" s="2"/>
      <c r="M792" s="2"/>
      <c r="N792" s="2"/>
      <c r="O792" s="2"/>
      <c r="P792" s="2"/>
      <c r="Q792" s="2"/>
      <c r="R792" s="2"/>
      <c r="S792" s="2"/>
      <c r="T792" s="2"/>
      <c r="U792" s="2"/>
      <c r="V792" s="2"/>
      <c r="W792" s="2"/>
      <c r="X792" s="2"/>
      <c r="Y792" s="2"/>
      <c r="Z792" s="2"/>
      <c r="AA792" s="2"/>
      <c r="AB792" s="2"/>
    </row>
    <row r="793" spans="1:28" ht="13">
      <c r="A793" s="2"/>
      <c r="B793" s="2"/>
      <c r="C793" s="2"/>
      <c r="D793" s="2"/>
      <c r="E793" s="2"/>
      <c r="F793" s="2"/>
      <c r="G793" s="43"/>
      <c r="H793" s="2"/>
      <c r="I793" s="2"/>
      <c r="J793" s="2"/>
      <c r="K793" s="2"/>
      <c r="L793" s="2"/>
      <c r="M793" s="2"/>
      <c r="N793" s="2"/>
      <c r="O793" s="2"/>
      <c r="P793" s="2"/>
      <c r="Q793" s="2"/>
      <c r="R793" s="2"/>
      <c r="S793" s="2"/>
      <c r="T793" s="2"/>
      <c r="U793" s="2"/>
      <c r="V793" s="2"/>
      <c r="W793" s="2"/>
      <c r="X793" s="2"/>
      <c r="Y793" s="2"/>
      <c r="Z793" s="2"/>
      <c r="AA793" s="2"/>
      <c r="AB793" s="2"/>
    </row>
    <row r="794" spans="1:28" ht="13">
      <c r="A794" s="2"/>
      <c r="B794" s="2"/>
      <c r="C794" s="2"/>
      <c r="D794" s="2"/>
      <c r="E794" s="2"/>
      <c r="F794" s="2"/>
      <c r="G794" s="43"/>
      <c r="H794" s="2"/>
      <c r="I794" s="2"/>
      <c r="J794" s="2"/>
      <c r="K794" s="2"/>
      <c r="L794" s="2"/>
      <c r="M794" s="2"/>
      <c r="N794" s="2"/>
      <c r="O794" s="2"/>
      <c r="P794" s="2"/>
      <c r="Q794" s="2"/>
      <c r="R794" s="2"/>
      <c r="S794" s="2"/>
      <c r="T794" s="2"/>
      <c r="U794" s="2"/>
      <c r="V794" s="2"/>
      <c r="W794" s="2"/>
      <c r="X794" s="2"/>
      <c r="Y794" s="2"/>
      <c r="Z794" s="2"/>
      <c r="AA794" s="2"/>
      <c r="AB794" s="2"/>
    </row>
    <row r="795" spans="1:28" ht="13">
      <c r="A795" s="2"/>
      <c r="B795" s="2"/>
      <c r="C795" s="2"/>
      <c r="D795" s="2"/>
      <c r="E795" s="2"/>
      <c r="F795" s="2"/>
      <c r="G795" s="43"/>
      <c r="H795" s="2"/>
      <c r="I795" s="2"/>
      <c r="J795" s="2"/>
      <c r="K795" s="2"/>
      <c r="L795" s="2"/>
      <c r="M795" s="2"/>
      <c r="N795" s="2"/>
      <c r="O795" s="2"/>
      <c r="P795" s="2"/>
      <c r="Q795" s="2"/>
      <c r="R795" s="2"/>
      <c r="S795" s="2"/>
      <c r="T795" s="2"/>
      <c r="U795" s="2"/>
      <c r="V795" s="2"/>
      <c r="W795" s="2"/>
      <c r="X795" s="2"/>
      <c r="Y795" s="2"/>
      <c r="Z795" s="2"/>
      <c r="AA795" s="2"/>
      <c r="AB795" s="2"/>
    </row>
    <row r="796" spans="1:28" ht="13">
      <c r="A796" s="2"/>
      <c r="B796" s="2"/>
      <c r="C796" s="2"/>
      <c r="D796" s="2"/>
      <c r="E796" s="2"/>
      <c r="F796" s="2"/>
      <c r="G796" s="43"/>
      <c r="H796" s="2"/>
      <c r="I796" s="2"/>
      <c r="J796" s="2"/>
      <c r="K796" s="2"/>
      <c r="L796" s="2"/>
      <c r="M796" s="2"/>
      <c r="N796" s="2"/>
      <c r="O796" s="2"/>
      <c r="P796" s="2"/>
      <c r="Q796" s="2"/>
      <c r="R796" s="2"/>
      <c r="S796" s="2"/>
      <c r="T796" s="2"/>
      <c r="U796" s="2"/>
      <c r="V796" s="2"/>
      <c r="W796" s="2"/>
      <c r="X796" s="2"/>
      <c r="Y796" s="2"/>
      <c r="Z796" s="2"/>
      <c r="AA796" s="2"/>
      <c r="AB796" s="2"/>
    </row>
    <row r="797" spans="1:28" ht="13">
      <c r="A797" s="2"/>
      <c r="B797" s="2"/>
      <c r="C797" s="2"/>
      <c r="D797" s="2"/>
      <c r="E797" s="2"/>
      <c r="F797" s="2"/>
      <c r="G797" s="43"/>
      <c r="H797" s="2"/>
      <c r="I797" s="2"/>
      <c r="J797" s="2"/>
      <c r="K797" s="2"/>
      <c r="L797" s="2"/>
      <c r="M797" s="2"/>
      <c r="N797" s="2"/>
      <c r="O797" s="2"/>
      <c r="P797" s="2"/>
      <c r="Q797" s="2"/>
      <c r="R797" s="2"/>
      <c r="S797" s="2"/>
      <c r="T797" s="2"/>
      <c r="U797" s="2"/>
      <c r="V797" s="2"/>
      <c r="W797" s="2"/>
      <c r="X797" s="2"/>
      <c r="Y797" s="2"/>
      <c r="Z797" s="2"/>
      <c r="AA797" s="2"/>
      <c r="AB797" s="2"/>
    </row>
    <row r="798" spans="1:28" ht="13">
      <c r="A798" s="2"/>
      <c r="B798" s="2"/>
      <c r="C798" s="2"/>
      <c r="D798" s="2"/>
      <c r="E798" s="2"/>
      <c r="F798" s="2"/>
      <c r="G798" s="43"/>
      <c r="H798" s="2"/>
      <c r="I798" s="2"/>
      <c r="J798" s="2"/>
      <c r="K798" s="2"/>
      <c r="L798" s="2"/>
      <c r="M798" s="2"/>
      <c r="N798" s="2"/>
      <c r="O798" s="2"/>
      <c r="P798" s="2"/>
      <c r="Q798" s="2"/>
      <c r="R798" s="2"/>
      <c r="S798" s="2"/>
      <c r="T798" s="2"/>
      <c r="U798" s="2"/>
      <c r="V798" s="2"/>
      <c r="W798" s="2"/>
      <c r="X798" s="2"/>
      <c r="Y798" s="2"/>
      <c r="Z798" s="2"/>
      <c r="AA798" s="2"/>
      <c r="AB798" s="2"/>
    </row>
    <row r="799" spans="1:28" ht="13">
      <c r="A799" s="2"/>
      <c r="B799" s="2"/>
      <c r="C799" s="2"/>
      <c r="D799" s="2"/>
      <c r="E799" s="2"/>
      <c r="F799" s="2"/>
      <c r="G799" s="43"/>
      <c r="H799" s="2"/>
      <c r="I799" s="2"/>
      <c r="J799" s="2"/>
      <c r="K799" s="2"/>
      <c r="L799" s="2"/>
      <c r="M799" s="2"/>
      <c r="N799" s="2"/>
      <c r="O799" s="2"/>
      <c r="P799" s="2"/>
      <c r="Q799" s="2"/>
      <c r="R799" s="2"/>
      <c r="S799" s="2"/>
      <c r="T799" s="2"/>
      <c r="U799" s="2"/>
      <c r="V799" s="2"/>
      <c r="W799" s="2"/>
      <c r="X799" s="2"/>
      <c r="Y799" s="2"/>
      <c r="Z799" s="2"/>
      <c r="AA799" s="2"/>
      <c r="AB799" s="2"/>
    </row>
    <row r="800" spans="1:28" ht="13">
      <c r="A800" s="2"/>
      <c r="B800" s="2"/>
      <c r="C800" s="2"/>
      <c r="D800" s="2"/>
      <c r="E800" s="2"/>
      <c r="F800" s="2"/>
      <c r="G800" s="43"/>
      <c r="H800" s="2"/>
      <c r="I800" s="2"/>
      <c r="J800" s="2"/>
      <c r="K800" s="2"/>
      <c r="L800" s="2"/>
      <c r="M800" s="2"/>
      <c r="N800" s="2"/>
      <c r="O800" s="2"/>
      <c r="P800" s="2"/>
      <c r="Q800" s="2"/>
      <c r="R800" s="2"/>
      <c r="S800" s="2"/>
      <c r="T800" s="2"/>
      <c r="U800" s="2"/>
      <c r="V800" s="2"/>
      <c r="W800" s="2"/>
      <c r="X800" s="2"/>
      <c r="Y800" s="2"/>
      <c r="Z800" s="2"/>
      <c r="AA800" s="2"/>
      <c r="AB800" s="2"/>
    </row>
    <row r="801" spans="1:28" ht="13">
      <c r="A801" s="2"/>
      <c r="B801" s="2"/>
      <c r="C801" s="2"/>
      <c r="D801" s="2"/>
      <c r="E801" s="2"/>
      <c r="F801" s="2"/>
      <c r="G801" s="43"/>
      <c r="H801" s="2"/>
      <c r="I801" s="2"/>
      <c r="J801" s="2"/>
      <c r="K801" s="2"/>
      <c r="L801" s="2"/>
      <c r="M801" s="2"/>
      <c r="N801" s="2"/>
      <c r="O801" s="2"/>
      <c r="P801" s="2"/>
      <c r="Q801" s="2"/>
      <c r="R801" s="2"/>
      <c r="S801" s="2"/>
      <c r="T801" s="2"/>
      <c r="U801" s="2"/>
      <c r="V801" s="2"/>
      <c r="W801" s="2"/>
      <c r="X801" s="2"/>
      <c r="Y801" s="2"/>
      <c r="Z801" s="2"/>
      <c r="AA801" s="2"/>
      <c r="AB801" s="2"/>
    </row>
    <row r="802" spans="1:28" ht="13">
      <c r="A802" s="2"/>
      <c r="B802" s="2"/>
      <c r="C802" s="2"/>
      <c r="D802" s="2"/>
      <c r="E802" s="2"/>
      <c r="F802" s="2"/>
      <c r="G802" s="43"/>
      <c r="H802" s="2"/>
      <c r="I802" s="2"/>
      <c r="J802" s="2"/>
      <c r="K802" s="2"/>
      <c r="L802" s="2"/>
      <c r="M802" s="2"/>
      <c r="N802" s="2"/>
      <c r="O802" s="2"/>
      <c r="P802" s="2"/>
      <c r="Q802" s="2"/>
      <c r="R802" s="2"/>
      <c r="S802" s="2"/>
      <c r="T802" s="2"/>
      <c r="U802" s="2"/>
      <c r="V802" s="2"/>
      <c r="W802" s="2"/>
      <c r="X802" s="2"/>
      <c r="Y802" s="2"/>
      <c r="Z802" s="2"/>
      <c r="AA802" s="2"/>
      <c r="AB802" s="2"/>
    </row>
    <row r="803" spans="1:28" ht="13">
      <c r="A803" s="2"/>
      <c r="B803" s="2"/>
      <c r="C803" s="2"/>
      <c r="D803" s="2"/>
      <c r="E803" s="2"/>
      <c r="F803" s="2"/>
      <c r="G803" s="43"/>
      <c r="H803" s="2"/>
      <c r="I803" s="2"/>
      <c r="J803" s="2"/>
      <c r="K803" s="2"/>
      <c r="L803" s="2"/>
      <c r="M803" s="2"/>
      <c r="N803" s="2"/>
      <c r="O803" s="2"/>
      <c r="P803" s="2"/>
      <c r="Q803" s="2"/>
      <c r="R803" s="2"/>
      <c r="S803" s="2"/>
      <c r="T803" s="2"/>
      <c r="U803" s="2"/>
      <c r="V803" s="2"/>
      <c r="W803" s="2"/>
      <c r="X803" s="2"/>
      <c r="Y803" s="2"/>
      <c r="Z803" s="2"/>
      <c r="AA803" s="2"/>
      <c r="AB803" s="2"/>
    </row>
    <row r="804" spans="1:28" ht="13">
      <c r="A804" s="2"/>
      <c r="B804" s="2"/>
      <c r="C804" s="2"/>
      <c r="D804" s="2"/>
      <c r="E804" s="2"/>
      <c r="F804" s="2"/>
      <c r="G804" s="43"/>
      <c r="H804" s="2"/>
      <c r="I804" s="2"/>
      <c r="J804" s="2"/>
      <c r="K804" s="2"/>
      <c r="L804" s="2"/>
      <c r="M804" s="2"/>
      <c r="N804" s="2"/>
      <c r="O804" s="2"/>
      <c r="P804" s="2"/>
      <c r="Q804" s="2"/>
      <c r="R804" s="2"/>
      <c r="S804" s="2"/>
      <c r="T804" s="2"/>
      <c r="U804" s="2"/>
      <c r="V804" s="2"/>
      <c r="W804" s="2"/>
      <c r="X804" s="2"/>
      <c r="Y804" s="2"/>
      <c r="Z804" s="2"/>
      <c r="AA804" s="2"/>
      <c r="AB804" s="2"/>
    </row>
    <row r="805" spans="1:28" ht="13">
      <c r="A805" s="2"/>
      <c r="B805" s="2"/>
      <c r="C805" s="2"/>
      <c r="D805" s="2"/>
      <c r="E805" s="2"/>
      <c r="F805" s="2"/>
      <c r="G805" s="43"/>
      <c r="H805" s="2"/>
      <c r="I805" s="2"/>
      <c r="J805" s="2"/>
      <c r="K805" s="2"/>
      <c r="L805" s="2"/>
      <c r="M805" s="2"/>
      <c r="N805" s="2"/>
      <c r="O805" s="2"/>
      <c r="P805" s="2"/>
      <c r="Q805" s="2"/>
      <c r="R805" s="2"/>
      <c r="S805" s="2"/>
      <c r="T805" s="2"/>
      <c r="U805" s="2"/>
      <c r="V805" s="2"/>
      <c r="W805" s="2"/>
      <c r="X805" s="2"/>
      <c r="Y805" s="2"/>
      <c r="Z805" s="2"/>
      <c r="AA805" s="2"/>
      <c r="AB805" s="2"/>
    </row>
    <row r="806" spans="1:28" ht="13">
      <c r="A806" s="2"/>
      <c r="B806" s="2"/>
      <c r="C806" s="2"/>
      <c r="D806" s="2"/>
      <c r="E806" s="2"/>
      <c r="F806" s="2"/>
      <c r="G806" s="43"/>
      <c r="H806" s="2"/>
      <c r="I806" s="2"/>
      <c r="J806" s="2"/>
      <c r="K806" s="2"/>
      <c r="L806" s="2"/>
      <c r="M806" s="2"/>
      <c r="N806" s="2"/>
      <c r="O806" s="2"/>
      <c r="P806" s="2"/>
      <c r="Q806" s="2"/>
      <c r="R806" s="2"/>
      <c r="S806" s="2"/>
      <c r="T806" s="2"/>
      <c r="U806" s="2"/>
      <c r="V806" s="2"/>
      <c r="W806" s="2"/>
      <c r="X806" s="2"/>
      <c r="Y806" s="2"/>
      <c r="Z806" s="2"/>
      <c r="AA806" s="2"/>
      <c r="AB806" s="2"/>
    </row>
    <row r="807" spans="1:28" ht="13">
      <c r="A807" s="2"/>
      <c r="B807" s="2"/>
      <c r="C807" s="2"/>
      <c r="D807" s="2"/>
      <c r="E807" s="2"/>
      <c r="F807" s="2"/>
      <c r="G807" s="43"/>
      <c r="H807" s="2"/>
      <c r="I807" s="2"/>
      <c r="J807" s="2"/>
      <c r="K807" s="2"/>
      <c r="L807" s="2"/>
      <c r="M807" s="2"/>
      <c r="N807" s="2"/>
      <c r="O807" s="2"/>
      <c r="P807" s="2"/>
      <c r="Q807" s="2"/>
      <c r="R807" s="2"/>
      <c r="S807" s="2"/>
      <c r="T807" s="2"/>
      <c r="U807" s="2"/>
      <c r="V807" s="2"/>
      <c r="W807" s="2"/>
      <c r="X807" s="2"/>
      <c r="Y807" s="2"/>
      <c r="Z807" s="2"/>
      <c r="AA807" s="2"/>
      <c r="AB807" s="2"/>
    </row>
    <row r="808" spans="1:28" ht="13">
      <c r="A808" s="2"/>
      <c r="B808" s="2"/>
      <c r="C808" s="2"/>
      <c r="D808" s="2"/>
      <c r="E808" s="2"/>
      <c r="F808" s="2"/>
      <c r="G808" s="43"/>
      <c r="H808" s="2"/>
      <c r="I808" s="2"/>
      <c r="J808" s="2"/>
      <c r="K808" s="2"/>
      <c r="L808" s="2"/>
      <c r="M808" s="2"/>
      <c r="N808" s="2"/>
      <c r="O808" s="2"/>
      <c r="P808" s="2"/>
      <c r="Q808" s="2"/>
      <c r="R808" s="2"/>
      <c r="S808" s="2"/>
      <c r="T808" s="2"/>
      <c r="U808" s="2"/>
      <c r="V808" s="2"/>
      <c r="W808" s="2"/>
      <c r="X808" s="2"/>
      <c r="Y808" s="2"/>
      <c r="Z808" s="2"/>
      <c r="AA808" s="2"/>
      <c r="AB808" s="2"/>
    </row>
    <row r="809" spans="1:28" ht="13">
      <c r="A809" s="2"/>
      <c r="B809" s="2"/>
      <c r="C809" s="2"/>
      <c r="D809" s="2"/>
      <c r="E809" s="2"/>
      <c r="F809" s="2"/>
      <c r="G809" s="43"/>
      <c r="H809" s="2"/>
      <c r="I809" s="2"/>
      <c r="J809" s="2"/>
      <c r="K809" s="2"/>
      <c r="L809" s="2"/>
      <c r="M809" s="2"/>
      <c r="N809" s="2"/>
      <c r="O809" s="2"/>
      <c r="P809" s="2"/>
      <c r="Q809" s="2"/>
      <c r="R809" s="2"/>
      <c r="S809" s="2"/>
      <c r="T809" s="2"/>
      <c r="U809" s="2"/>
      <c r="V809" s="2"/>
      <c r="W809" s="2"/>
      <c r="X809" s="2"/>
      <c r="Y809" s="2"/>
      <c r="Z809" s="2"/>
      <c r="AA809" s="2"/>
      <c r="AB809" s="2"/>
    </row>
    <row r="810" spans="1:28" ht="13">
      <c r="A810" s="2"/>
      <c r="B810" s="2"/>
      <c r="C810" s="2"/>
      <c r="D810" s="2"/>
      <c r="E810" s="2"/>
      <c r="F810" s="2"/>
      <c r="G810" s="43"/>
      <c r="H810" s="2"/>
      <c r="I810" s="2"/>
      <c r="J810" s="2"/>
      <c r="K810" s="2"/>
      <c r="L810" s="2"/>
      <c r="M810" s="2"/>
      <c r="N810" s="2"/>
      <c r="O810" s="2"/>
      <c r="P810" s="2"/>
      <c r="Q810" s="2"/>
      <c r="R810" s="2"/>
      <c r="S810" s="2"/>
      <c r="T810" s="2"/>
      <c r="U810" s="2"/>
      <c r="V810" s="2"/>
      <c r="W810" s="2"/>
      <c r="X810" s="2"/>
      <c r="Y810" s="2"/>
      <c r="Z810" s="2"/>
      <c r="AA810" s="2"/>
      <c r="AB810" s="2"/>
    </row>
    <row r="811" spans="1:28" ht="13">
      <c r="A811" s="2"/>
      <c r="B811" s="2"/>
      <c r="C811" s="2"/>
      <c r="D811" s="2"/>
      <c r="E811" s="2"/>
      <c r="F811" s="2"/>
      <c r="G811" s="43"/>
      <c r="H811" s="2"/>
      <c r="I811" s="2"/>
      <c r="J811" s="2"/>
      <c r="K811" s="2"/>
      <c r="L811" s="2"/>
      <c r="M811" s="2"/>
      <c r="N811" s="2"/>
      <c r="O811" s="2"/>
      <c r="P811" s="2"/>
      <c r="Q811" s="2"/>
      <c r="R811" s="2"/>
      <c r="S811" s="2"/>
      <c r="T811" s="2"/>
      <c r="U811" s="2"/>
      <c r="V811" s="2"/>
      <c r="W811" s="2"/>
      <c r="X811" s="2"/>
      <c r="Y811" s="2"/>
      <c r="Z811" s="2"/>
      <c r="AA811" s="2"/>
      <c r="AB811" s="2"/>
    </row>
    <row r="812" spans="1:28" ht="13">
      <c r="A812" s="2"/>
      <c r="B812" s="2"/>
      <c r="C812" s="2"/>
      <c r="D812" s="2"/>
      <c r="E812" s="2"/>
      <c r="F812" s="2"/>
      <c r="G812" s="43"/>
      <c r="H812" s="2"/>
      <c r="I812" s="2"/>
      <c r="J812" s="2"/>
      <c r="K812" s="2"/>
      <c r="L812" s="2"/>
      <c r="M812" s="2"/>
      <c r="N812" s="2"/>
      <c r="O812" s="2"/>
      <c r="P812" s="2"/>
      <c r="Q812" s="2"/>
      <c r="R812" s="2"/>
      <c r="S812" s="2"/>
      <c r="T812" s="2"/>
      <c r="U812" s="2"/>
      <c r="V812" s="2"/>
      <c r="W812" s="2"/>
      <c r="X812" s="2"/>
      <c r="Y812" s="2"/>
      <c r="Z812" s="2"/>
      <c r="AA812" s="2"/>
      <c r="AB812" s="2"/>
    </row>
    <row r="813" spans="1:28" ht="13">
      <c r="A813" s="2"/>
      <c r="B813" s="2"/>
      <c r="C813" s="2"/>
      <c r="D813" s="2"/>
      <c r="E813" s="2"/>
      <c r="F813" s="2"/>
      <c r="G813" s="43"/>
      <c r="H813" s="2"/>
      <c r="I813" s="2"/>
      <c r="J813" s="2"/>
      <c r="K813" s="2"/>
      <c r="L813" s="2"/>
      <c r="M813" s="2"/>
      <c r="N813" s="2"/>
      <c r="O813" s="2"/>
      <c r="P813" s="2"/>
      <c r="Q813" s="2"/>
      <c r="R813" s="2"/>
      <c r="S813" s="2"/>
      <c r="T813" s="2"/>
      <c r="U813" s="2"/>
      <c r="V813" s="2"/>
      <c r="W813" s="2"/>
      <c r="X813" s="2"/>
      <c r="Y813" s="2"/>
      <c r="Z813" s="2"/>
      <c r="AA813" s="2"/>
      <c r="AB813" s="2"/>
    </row>
    <row r="814" spans="1:28" ht="13">
      <c r="A814" s="2"/>
      <c r="B814" s="2"/>
      <c r="C814" s="2"/>
      <c r="D814" s="2"/>
      <c r="E814" s="2"/>
      <c r="F814" s="2"/>
      <c r="G814" s="43"/>
      <c r="H814" s="2"/>
      <c r="I814" s="2"/>
      <c r="J814" s="2"/>
      <c r="K814" s="2"/>
      <c r="L814" s="2"/>
      <c r="M814" s="2"/>
      <c r="N814" s="2"/>
      <c r="O814" s="2"/>
      <c r="P814" s="2"/>
      <c r="Q814" s="2"/>
      <c r="R814" s="2"/>
      <c r="S814" s="2"/>
      <c r="T814" s="2"/>
      <c r="U814" s="2"/>
      <c r="V814" s="2"/>
      <c r="W814" s="2"/>
      <c r="X814" s="2"/>
      <c r="Y814" s="2"/>
      <c r="Z814" s="2"/>
      <c r="AA814" s="2"/>
      <c r="AB814" s="2"/>
    </row>
    <row r="815" spans="1:28" ht="13">
      <c r="A815" s="2"/>
      <c r="B815" s="2"/>
      <c r="C815" s="2"/>
      <c r="D815" s="2"/>
      <c r="E815" s="2"/>
      <c r="F815" s="2"/>
      <c r="G815" s="43"/>
      <c r="H815" s="2"/>
      <c r="I815" s="2"/>
      <c r="J815" s="2"/>
      <c r="K815" s="2"/>
      <c r="L815" s="2"/>
      <c r="M815" s="2"/>
      <c r="N815" s="2"/>
      <c r="O815" s="2"/>
      <c r="P815" s="2"/>
      <c r="Q815" s="2"/>
      <c r="R815" s="2"/>
      <c r="S815" s="2"/>
      <c r="T815" s="2"/>
      <c r="U815" s="2"/>
      <c r="V815" s="2"/>
      <c r="W815" s="2"/>
      <c r="X815" s="2"/>
      <c r="Y815" s="2"/>
      <c r="Z815" s="2"/>
      <c r="AA815" s="2"/>
      <c r="AB815" s="2"/>
    </row>
    <row r="816" spans="1:28" ht="13">
      <c r="A816" s="2"/>
      <c r="B816" s="2"/>
      <c r="C816" s="2"/>
      <c r="D816" s="2"/>
      <c r="E816" s="2"/>
      <c r="F816" s="2"/>
      <c r="G816" s="43"/>
      <c r="H816" s="2"/>
      <c r="I816" s="2"/>
      <c r="J816" s="2"/>
      <c r="K816" s="2"/>
      <c r="L816" s="2"/>
      <c r="M816" s="2"/>
      <c r="N816" s="2"/>
      <c r="O816" s="2"/>
      <c r="P816" s="2"/>
      <c r="Q816" s="2"/>
      <c r="R816" s="2"/>
      <c r="S816" s="2"/>
      <c r="T816" s="2"/>
      <c r="U816" s="2"/>
      <c r="V816" s="2"/>
      <c r="W816" s="2"/>
      <c r="X816" s="2"/>
      <c r="Y816" s="2"/>
      <c r="Z816" s="2"/>
      <c r="AA816" s="2"/>
      <c r="AB816" s="2"/>
    </row>
    <row r="817" spans="1:28" ht="13">
      <c r="A817" s="2"/>
      <c r="B817" s="2"/>
      <c r="C817" s="2"/>
      <c r="D817" s="2"/>
      <c r="E817" s="2"/>
      <c r="F817" s="2"/>
      <c r="G817" s="43"/>
      <c r="H817" s="2"/>
      <c r="I817" s="2"/>
      <c r="J817" s="2"/>
      <c r="K817" s="2"/>
      <c r="L817" s="2"/>
      <c r="M817" s="2"/>
      <c r="N817" s="2"/>
      <c r="O817" s="2"/>
      <c r="P817" s="2"/>
      <c r="Q817" s="2"/>
      <c r="R817" s="2"/>
      <c r="S817" s="2"/>
      <c r="T817" s="2"/>
      <c r="U817" s="2"/>
      <c r="V817" s="2"/>
      <c r="W817" s="2"/>
      <c r="X817" s="2"/>
      <c r="Y817" s="2"/>
      <c r="Z817" s="2"/>
      <c r="AA817" s="2"/>
      <c r="AB817" s="2"/>
    </row>
    <row r="818" spans="1:28" ht="13">
      <c r="A818" s="2"/>
      <c r="B818" s="2"/>
      <c r="C818" s="2"/>
      <c r="D818" s="2"/>
      <c r="E818" s="2"/>
      <c r="F818" s="2"/>
      <c r="G818" s="43"/>
      <c r="H818" s="2"/>
      <c r="I818" s="2"/>
      <c r="J818" s="2"/>
      <c r="K818" s="2"/>
      <c r="L818" s="2"/>
      <c r="M818" s="2"/>
      <c r="N818" s="2"/>
      <c r="O818" s="2"/>
      <c r="P818" s="2"/>
      <c r="Q818" s="2"/>
      <c r="R818" s="2"/>
      <c r="S818" s="2"/>
      <c r="T818" s="2"/>
      <c r="U818" s="2"/>
      <c r="V818" s="2"/>
      <c r="W818" s="2"/>
      <c r="X818" s="2"/>
      <c r="Y818" s="2"/>
      <c r="Z818" s="2"/>
      <c r="AA818" s="2"/>
      <c r="AB818" s="2"/>
    </row>
    <row r="819" spans="1:28" ht="13">
      <c r="A819" s="2"/>
      <c r="B819" s="2"/>
      <c r="C819" s="2"/>
      <c r="D819" s="2"/>
      <c r="E819" s="2"/>
      <c r="F819" s="2"/>
      <c r="G819" s="43"/>
      <c r="H819" s="2"/>
      <c r="I819" s="2"/>
      <c r="J819" s="2"/>
      <c r="K819" s="2"/>
      <c r="L819" s="2"/>
      <c r="M819" s="2"/>
      <c r="N819" s="2"/>
      <c r="O819" s="2"/>
      <c r="P819" s="2"/>
      <c r="Q819" s="2"/>
      <c r="R819" s="2"/>
      <c r="S819" s="2"/>
      <c r="T819" s="2"/>
      <c r="U819" s="2"/>
      <c r="V819" s="2"/>
      <c r="W819" s="2"/>
      <c r="X819" s="2"/>
      <c r="Y819" s="2"/>
      <c r="Z819" s="2"/>
      <c r="AA819" s="2"/>
      <c r="AB819" s="2"/>
    </row>
    <row r="820" spans="1:28" ht="13">
      <c r="A820" s="2"/>
      <c r="B820" s="2"/>
      <c r="C820" s="2"/>
      <c r="D820" s="2"/>
      <c r="E820" s="2"/>
      <c r="F820" s="2"/>
      <c r="G820" s="43"/>
      <c r="H820" s="2"/>
      <c r="I820" s="2"/>
      <c r="J820" s="2"/>
      <c r="K820" s="2"/>
      <c r="L820" s="2"/>
      <c r="M820" s="2"/>
      <c r="N820" s="2"/>
      <c r="O820" s="2"/>
      <c r="P820" s="2"/>
      <c r="Q820" s="2"/>
      <c r="R820" s="2"/>
      <c r="S820" s="2"/>
      <c r="T820" s="2"/>
      <c r="U820" s="2"/>
      <c r="V820" s="2"/>
      <c r="W820" s="2"/>
      <c r="X820" s="2"/>
      <c r="Y820" s="2"/>
      <c r="Z820" s="2"/>
      <c r="AA820" s="2"/>
      <c r="AB820" s="2"/>
    </row>
    <row r="821" spans="1:28" ht="13">
      <c r="A821" s="2"/>
      <c r="B821" s="2"/>
      <c r="C821" s="2"/>
      <c r="D821" s="2"/>
      <c r="E821" s="2"/>
      <c r="F821" s="2"/>
      <c r="G821" s="43"/>
      <c r="H821" s="2"/>
      <c r="I821" s="2"/>
      <c r="J821" s="2"/>
      <c r="K821" s="2"/>
      <c r="L821" s="2"/>
      <c r="M821" s="2"/>
      <c r="N821" s="2"/>
      <c r="O821" s="2"/>
      <c r="P821" s="2"/>
      <c r="Q821" s="2"/>
      <c r="R821" s="2"/>
      <c r="S821" s="2"/>
      <c r="T821" s="2"/>
      <c r="U821" s="2"/>
      <c r="V821" s="2"/>
      <c r="W821" s="2"/>
      <c r="X821" s="2"/>
      <c r="Y821" s="2"/>
      <c r="Z821" s="2"/>
      <c r="AA821" s="2"/>
      <c r="AB821" s="2"/>
    </row>
    <row r="822" spans="1:28" ht="13">
      <c r="A822" s="2"/>
      <c r="B822" s="2"/>
      <c r="C822" s="2"/>
      <c r="D822" s="2"/>
      <c r="E822" s="2"/>
      <c r="F822" s="2"/>
      <c r="G822" s="43"/>
      <c r="H822" s="2"/>
      <c r="I822" s="2"/>
      <c r="J822" s="2"/>
      <c r="K822" s="2"/>
      <c r="L822" s="2"/>
      <c r="M822" s="2"/>
      <c r="N822" s="2"/>
      <c r="O822" s="2"/>
      <c r="P822" s="2"/>
      <c r="Q822" s="2"/>
      <c r="R822" s="2"/>
      <c r="S822" s="2"/>
      <c r="T822" s="2"/>
      <c r="U822" s="2"/>
      <c r="V822" s="2"/>
      <c r="W822" s="2"/>
      <c r="X822" s="2"/>
      <c r="Y822" s="2"/>
      <c r="Z822" s="2"/>
      <c r="AA822" s="2"/>
      <c r="AB822" s="2"/>
    </row>
    <row r="823" spans="1:28" ht="13">
      <c r="A823" s="2"/>
      <c r="B823" s="2"/>
      <c r="C823" s="2"/>
      <c r="D823" s="2"/>
      <c r="E823" s="2"/>
      <c r="F823" s="2"/>
      <c r="G823" s="43"/>
      <c r="H823" s="2"/>
      <c r="I823" s="2"/>
      <c r="J823" s="2"/>
      <c r="K823" s="2"/>
      <c r="L823" s="2"/>
      <c r="M823" s="2"/>
      <c r="N823" s="2"/>
      <c r="O823" s="2"/>
      <c r="P823" s="2"/>
      <c r="Q823" s="2"/>
      <c r="R823" s="2"/>
      <c r="S823" s="2"/>
      <c r="T823" s="2"/>
      <c r="U823" s="2"/>
      <c r="V823" s="2"/>
      <c r="W823" s="2"/>
      <c r="X823" s="2"/>
      <c r="Y823" s="2"/>
      <c r="Z823" s="2"/>
      <c r="AA823" s="2"/>
      <c r="AB823" s="2"/>
    </row>
    <row r="824" spans="1:28" ht="13">
      <c r="A824" s="2"/>
      <c r="B824" s="2"/>
      <c r="C824" s="2"/>
      <c r="D824" s="2"/>
      <c r="E824" s="2"/>
      <c r="F824" s="2"/>
      <c r="G824" s="43"/>
      <c r="H824" s="2"/>
      <c r="I824" s="2"/>
      <c r="J824" s="2"/>
      <c r="K824" s="2"/>
      <c r="L824" s="2"/>
      <c r="M824" s="2"/>
      <c r="N824" s="2"/>
      <c r="O824" s="2"/>
      <c r="P824" s="2"/>
      <c r="Q824" s="2"/>
      <c r="R824" s="2"/>
      <c r="S824" s="2"/>
      <c r="T824" s="2"/>
      <c r="U824" s="2"/>
      <c r="V824" s="2"/>
      <c r="W824" s="2"/>
      <c r="X824" s="2"/>
      <c r="Y824" s="2"/>
      <c r="Z824" s="2"/>
      <c r="AA824" s="2"/>
      <c r="AB824" s="2"/>
    </row>
    <row r="825" spans="1:28" ht="13">
      <c r="A825" s="2"/>
      <c r="B825" s="2"/>
      <c r="C825" s="2"/>
      <c r="D825" s="2"/>
      <c r="E825" s="2"/>
      <c r="F825" s="2"/>
      <c r="G825" s="43"/>
      <c r="H825" s="2"/>
      <c r="I825" s="2"/>
      <c r="J825" s="2"/>
      <c r="K825" s="2"/>
      <c r="L825" s="2"/>
      <c r="M825" s="2"/>
      <c r="N825" s="2"/>
      <c r="O825" s="2"/>
      <c r="P825" s="2"/>
      <c r="Q825" s="2"/>
      <c r="R825" s="2"/>
      <c r="S825" s="2"/>
      <c r="T825" s="2"/>
      <c r="U825" s="2"/>
      <c r="V825" s="2"/>
      <c r="W825" s="2"/>
      <c r="X825" s="2"/>
      <c r="Y825" s="2"/>
      <c r="Z825" s="2"/>
      <c r="AA825" s="2"/>
      <c r="AB825" s="2"/>
    </row>
    <row r="826" spans="1:28" ht="13">
      <c r="A826" s="2"/>
      <c r="B826" s="2"/>
      <c r="C826" s="2"/>
      <c r="D826" s="2"/>
      <c r="E826" s="2"/>
      <c r="F826" s="2"/>
      <c r="G826" s="43"/>
      <c r="H826" s="2"/>
      <c r="I826" s="2"/>
      <c r="J826" s="2"/>
      <c r="K826" s="2"/>
      <c r="L826" s="2"/>
      <c r="M826" s="2"/>
      <c r="N826" s="2"/>
      <c r="O826" s="2"/>
      <c r="P826" s="2"/>
      <c r="Q826" s="2"/>
      <c r="R826" s="2"/>
      <c r="S826" s="2"/>
      <c r="T826" s="2"/>
      <c r="U826" s="2"/>
      <c r="V826" s="2"/>
      <c r="W826" s="2"/>
      <c r="X826" s="2"/>
      <c r="Y826" s="2"/>
      <c r="Z826" s="2"/>
      <c r="AA826" s="2"/>
      <c r="AB826" s="2"/>
    </row>
    <row r="827" spans="1:28" ht="13">
      <c r="A827" s="2"/>
      <c r="B827" s="2"/>
      <c r="C827" s="2"/>
      <c r="D827" s="2"/>
      <c r="E827" s="2"/>
      <c r="F827" s="2"/>
      <c r="G827" s="43"/>
      <c r="H827" s="2"/>
      <c r="I827" s="2"/>
      <c r="J827" s="2"/>
      <c r="K827" s="2"/>
      <c r="L827" s="2"/>
      <c r="M827" s="2"/>
      <c r="N827" s="2"/>
      <c r="O827" s="2"/>
      <c r="P827" s="2"/>
      <c r="Q827" s="2"/>
      <c r="R827" s="2"/>
      <c r="S827" s="2"/>
      <c r="T827" s="2"/>
      <c r="U827" s="2"/>
      <c r="V827" s="2"/>
      <c r="W827" s="2"/>
      <c r="X827" s="2"/>
      <c r="Y827" s="2"/>
      <c r="Z827" s="2"/>
      <c r="AA827" s="2"/>
      <c r="AB827" s="2"/>
    </row>
    <row r="828" spans="1:28" ht="13">
      <c r="A828" s="2"/>
      <c r="B828" s="2"/>
      <c r="C828" s="2"/>
      <c r="D828" s="2"/>
      <c r="E828" s="2"/>
      <c r="F828" s="2"/>
      <c r="G828" s="43"/>
      <c r="H828" s="2"/>
      <c r="I828" s="2"/>
      <c r="J828" s="2"/>
      <c r="K828" s="2"/>
      <c r="L828" s="2"/>
      <c r="M828" s="2"/>
      <c r="N828" s="2"/>
      <c r="O828" s="2"/>
      <c r="P828" s="2"/>
      <c r="Q828" s="2"/>
      <c r="R828" s="2"/>
      <c r="S828" s="2"/>
      <c r="T828" s="2"/>
      <c r="U828" s="2"/>
      <c r="V828" s="2"/>
      <c r="W828" s="2"/>
      <c r="X828" s="2"/>
      <c r="Y828" s="2"/>
      <c r="Z828" s="2"/>
      <c r="AA828" s="2"/>
      <c r="AB828" s="2"/>
    </row>
    <row r="829" spans="1:28" ht="13">
      <c r="A829" s="2"/>
      <c r="B829" s="2"/>
      <c r="C829" s="2"/>
      <c r="D829" s="2"/>
      <c r="E829" s="2"/>
      <c r="F829" s="2"/>
      <c r="G829" s="43"/>
      <c r="H829" s="2"/>
      <c r="I829" s="2"/>
      <c r="J829" s="2"/>
      <c r="K829" s="2"/>
      <c r="L829" s="2"/>
      <c r="M829" s="2"/>
      <c r="N829" s="2"/>
      <c r="O829" s="2"/>
      <c r="P829" s="2"/>
      <c r="Q829" s="2"/>
      <c r="R829" s="2"/>
      <c r="S829" s="2"/>
      <c r="T829" s="2"/>
      <c r="U829" s="2"/>
      <c r="V829" s="2"/>
      <c r="W829" s="2"/>
      <c r="X829" s="2"/>
      <c r="Y829" s="2"/>
      <c r="Z829" s="2"/>
      <c r="AA829" s="2"/>
      <c r="AB829" s="2"/>
    </row>
    <row r="830" spans="1:28" ht="13">
      <c r="A830" s="2"/>
      <c r="B830" s="2"/>
      <c r="C830" s="2"/>
      <c r="D830" s="2"/>
      <c r="E830" s="2"/>
      <c r="F830" s="2"/>
      <c r="G830" s="43"/>
      <c r="H830" s="2"/>
      <c r="I830" s="2"/>
      <c r="J830" s="2"/>
      <c r="K830" s="2"/>
      <c r="L830" s="2"/>
      <c r="M830" s="2"/>
      <c r="N830" s="2"/>
      <c r="O830" s="2"/>
      <c r="P830" s="2"/>
      <c r="Q830" s="2"/>
      <c r="R830" s="2"/>
      <c r="S830" s="2"/>
      <c r="T830" s="2"/>
      <c r="U830" s="2"/>
      <c r="V830" s="2"/>
      <c r="W830" s="2"/>
      <c r="X830" s="2"/>
      <c r="Y830" s="2"/>
      <c r="Z830" s="2"/>
      <c r="AA830" s="2"/>
      <c r="AB830" s="2"/>
    </row>
    <row r="831" spans="1:28" ht="13">
      <c r="A831" s="2"/>
      <c r="B831" s="2"/>
      <c r="C831" s="2"/>
      <c r="D831" s="2"/>
      <c r="E831" s="2"/>
      <c r="F831" s="2"/>
      <c r="G831" s="43"/>
      <c r="H831" s="2"/>
      <c r="I831" s="2"/>
      <c r="J831" s="2"/>
      <c r="K831" s="2"/>
      <c r="L831" s="2"/>
      <c r="M831" s="2"/>
      <c r="N831" s="2"/>
      <c r="O831" s="2"/>
      <c r="P831" s="2"/>
      <c r="Q831" s="2"/>
      <c r="R831" s="2"/>
      <c r="S831" s="2"/>
      <c r="T831" s="2"/>
      <c r="U831" s="2"/>
      <c r="V831" s="2"/>
      <c r="W831" s="2"/>
      <c r="X831" s="2"/>
      <c r="Y831" s="2"/>
      <c r="Z831" s="2"/>
      <c r="AA831" s="2"/>
      <c r="AB831" s="2"/>
    </row>
    <row r="832" spans="1:28" ht="13">
      <c r="A832" s="2"/>
      <c r="B832" s="2"/>
      <c r="C832" s="2"/>
      <c r="D832" s="2"/>
      <c r="E832" s="2"/>
      <c r="F832" s="2"/>
      <c r="G832" s="43"/>
      <c r="H832" s="2"/>
      <c r="I832" s="2"/>
      <c r="J832" s="2"/>
      <c r="K832" s="2"/>
      <c r="L832" s="2"/>
      <c r="M832" s="2"/>
      <c r="N832" s="2"/>
      <c r="O832" s="2"/>
      <c r="P832" s="2"/>
      <c r="Q832" s="2"/>
      <c r="R832" s="2"/>
      <c r="S832" s="2"/>
      <c r="T832" s="2"/>
      <c r="U832" s="2"/>
      <c r="V832" s="2"/>
      <c r="W832" s="2"/>
      <c r="X832" s="2"/>
      <c r="Y832" s="2"/>
      <c r="Z832" s="2"/>
      <c r="AA832" s="2"/>
      <c r="AB832" s="2"/>
    </row>
    <row r="833" spans="1:28" ht="13">
      <c r="A833" s="2"/>
      <c r="B833" s="2"/>
      <c r="C833" s="2"/>
      <c r="D833" s="2"/>
      <c r="E833" s="2"/>
      <c r="F833" s="2"/>
      <c r="G833" s="43"/>
      <c r="H833" s="2"/>
      <c r="I833" s="2"/>
      <c r="J833" s="2"/>
      <c r="K833" s="2"/>
      <c r="L833" s="2"/>
      <c r="M833" s="2"/>
      <c r="N833" s="2"/>
      <c r="O833" s="2"/>
      <c r="P833" s="2"/>
      <c r="Q833" s="2"/>
      <c r="R833" s="2"/>
      <c r="S833" s="2"/>
      <c r="T833" s="2"/>
      <c r="U833" s="2"/>
      <c r="V833" s="2"/>
      <c r="W833" s="2"/>
      <c r="X833" s="2"/>
      <c r="Y833" s="2"/>
      <c r="Z833" s="2"/>
      <c r="AA833" s="2"/>
      <c r="AB833" s="2"/>
    </row>
    <row r="834" spans="1:28" ht="13">
      <c r="A834" s="2"/>
      <c r="B834" s="2"/>
      <c r="C834" s="2"/>
      <c r="D834" s="2"/>
      <c r="E834" s="2"/>
      <c r="F834" s="2"/>
      <c r="G834" s="43"/>
      <c r="H834" s="2"/>
      <c r="I834" s="2"/>
      <c r="J834" s="2"/>
      <c r="K834" s="2"/>
      <c r="L834" s="2"/>
      <c r="M834" s="2"/>
      <c r="N834" s="2"/>
      <c r="O834" s="2"/>
      <c r="P834" s="2"/>
      <c r="Q834" s="2"/>
      <c r="R834" s="2"/>
      <c r="S834" s="2"/>
      <c r="T834" s="2"/>
      <c r="U834" s="2"/>
      <c r="V834" s="2"/>
      <c r="W834" s="2"/>
      <c r="X834" s="2"/>
      <c r="Y834" s="2"/>
      <c r="Z834" s="2"/>
      <c r="AA834" s="2"/>
      <c r="AB834" s="2"/>
    </row>
    <row r="835" spans="1:28" ht="13">
      <c r="A835" s="2"/>
      <c r="B835" s="2"/>
      <c r="C835" s="2"/>
      <c r="D835" s="2"/>
      <c r="E835" s="2"/>
      <c r="F835" s="2"/>
      <c r="G835" s="43"/>
      <c r="H835" s="2"/>
      <c r="I835" s="2"/>
      <c r="J835" s="2"/>
      <c r="K835" s="2"/>
      <c r="L835" s="2"/>
      <c r="M835" s="2"/>
      <c r="N835" s="2"/>
      <c r="O835" s="2"/>
      <c r="P835" s="2"/>
      <c r="Q835" s="2"/>
      <c r="R835" s="2"/>
      <c r="S835" s="2"/>
      <c r="T835" s="2"/>
      <c r="U835" s="2"/>
      <c r="V835" s="2"/>
      <c r="W835" s="2"/>
      <c r="X835" s="2"/>
      <c r="Y835" s="2"/>
      <c r="Z835" s="2"/>
      <c r="AA835" s="2"/>
      <c r="AB835" s="2"/>
    </row>
    <row r="836" spans="1:28" ht="13">
      <c r="A836" s="2"/>
      <c r="B836" s="2"/>
      <c r="C836" s="2"/>
      <c r="D836" s="2"/>
      <c r="E836" s="2"/>
      <c r="F836" s="2"/>
      <c r="G836" s="43"/>
      <c r="H836" s="2"/>
      <c r="I836" s="2"/>
      <c r="J836" s="2"/>
      <c r="K836" s="2"/>
      <c r="L836" s="2"/>
      <c r="M836" s="2"/>
      <c r="N836" s="2"/>
      <c r="O836" s="2"/>
      <c r="P836" s="2"/>
      <c r="Q836" s="2"/>
      <c r="R836" s="2"/>
      <c r="S836" s="2"/>
      <c r="T836" s="2"/>
      <c r="U836" s="2"/>
      <c r="V836" s="2"/>
      <c r="W836" s="2"/>
      <c r="X836" s="2"/>
      <c r="Y836" s="2"/>
      <c r="Z836" s="2"/>
      <c r="AA836" s="2"/>
      <c r="AB836" s="2"/>
    </row>
    <row r="837" spans="1:28" ht="13">
      <c r="A837" s="2"/>
      <c r="B837" s="2"/>
      <c r="C837" s="2"/>
      <c r="D837" s="2"/>
      <c r="E837" s="2"/>
      <c r="F837" s="2"/>
      <c r="G837" s="43"/>
      <c r="H837" s="2"/>
      <c r="I837" s="2"/>
      <c r="J837" s="2"/>
      <c r="K837" s="2"/>
      <c r="L837" s="2"/>
      <c r="M837" s="2"/>
      <c r="N837" s="2"/>
      <c r="O837" s="2"/>
      <c r="P837" s="2"/>
      <c r="Q837" s="2"/>
      <c r="R837" s="2"/>
      <c r="S837" s="2"/>
      <c r="T837" s="2"/>
      <c r="U837" s="2"/>
      <c r="V837" s="2"/>
      <c r="W837" s="2"/>
      <c r="X837" s="2"/>
      <c r="Y837" s="2"/>
      <c r="Z837" s="2"/>
      <c r="AA837" s="2"/>
      <c r="AB837" s="2"/>
    </row>
    <row r="838" spans="1:28" ht="13">
      <c r="A838" s="2"/>
      <c r="B838" s="2"/>
      <c r="C838" s="2"/>
      <c r="D838" s="2"/>
      <c r="E838" s="2"/>
      <c r="F838" s="2"/>
      <c r="G838" s="43"/>
      <c r="H838" s="2"/>
      <c r="I838" s="2"/>
      <c r="J838" s="2"/>
      <c r="K838" s="2"/>
      <c r="L838" s="2"/>
      <c r="M838" s="2"/>
      <c r="N838" s="2"/>
      <c r="O838" s="2"/>
      <c r="P838" s="2"/>
      <c r="Q838" s="2"/>
      <c r="R838" s="2"/>
      <c r="S838" s="2"/>
      <c r="T838" s="2"/>
      <c r="U838" s="2"/>
      <c r="V838" s="2"/>
      <c r="W838" s="2"/>
      <c r="X838" s="2"/>
      <c r="Y838" s="2"/>
      <c r="Z838" s="2"/>
      <c r="AA838" s="2"/>
      <c r="AB838" s="2"/>
    </row>
    <row r="839" spans="1:28" ht="13">
      <c r="A839" s="2"/>
      <c r="B839" s="2"/>
      <c r="C839" s="2"/>
      <c r="D839" s="2"/>
      <c r="E839" s="2"/>
      <c r="F839" s="2"/>
      <c r="G839" s="43"/>
      <c r="H839" s="2"/>
      <c r="I839" s="2"/>
      <c r="J839" s="2"/>
      <c r="K839" s="2"/>
      <c r="L839" s="2"/>
      <c r="M839" s="2"/>
      <c r="N839" s="2"/>
      <c r="O839" s="2"/>
      <c r="P839" s="2"/>
      <c r="Q839" s="2"/>
      <c r="R839" s="2"/>
      <c r="S839" s="2"/>
      <c r="T839" s="2"/>
      <c r="U839" s="2"/>
      <c r="V839" s="2"/>
      <c r="W839" s="2"/>
      <c r="X839" s="2"/>
      <c r="Y839" s="2"/>
      <c r="Z839" s="2"/>
      <c r="AA839" s="2"/>
      <c r="AB839" s="2"/>
    </row>
    <row r="840" spans="1:28" ht="13">
      <c r="A840" s="2"/>
      <c r="B840" s="2"/>
      <c r="C840" s="2"/>
      <c r="D840" s="2"/>
      <c r="E840" s="2"/>
      <c r="F840" s="2"/>
      <c r="G840" s="43"/>
      <c r="H840" s="2"/>
      <c r="I840" s="2"/>
      <c r="J840" s="2"/>
      <c r="K840" s="2"/>
      <c r="L840" s="2"/>
      <c r="M840" s="2"/>
      <c r="N840" s="2"/>
      <c r="O840" s="2"/>
      <c r="P840" s="2"/>
      <c r="Q840" s="2"/>
      <c r="R840" s="2"/>
      <c r="S840" s="2"/>
      <c r="T840" s="2"/>
      <c r="U840" s="2"/>
      <c r="V840" s="2"/>
      <c r="W840" s="2"/>
      <c r="X840" s="2"/>
      <c r="Y840" s="2"/>
      <c r="Z840" s="2"/>
      <c r="AA840" s="2"/>
      <c r="AB840" s="2"/>
    </row>
    <row r="841" spans="1:28" ht="13">
      <c r="A841" s="2"/>
      <c r="B841" s="2"/>
      <c r="C841" s="2"/>
      <c r="D841" s="2"/>
      <c r="E841" s="2"/>
      <c r="F841" s="2"/>
      <c r="G841" s="43"/>
      <c r="H841" s="2"/>
      <c r="I841" s="2"/>
      <c r="J841" s="2"/>
      <c r="K841" s="2"/>
      <c r="L841" s="2"/>
      <c r="M841" s="2"/>
      <c r="N841" s="2"/>
      <c r="O841" s="2"/>
      <c r="P841" s="2"/>
      <c r="Q841" s="2"/>
      <c r="R841" s="2"/>
      <c r="S841" s="2"/>
      <c r="T841" s="2"/>
      <c r="U841" s="2"/>
      <c r="V841" s="2"/>
      <c r="W841" s="2"/>
      <c r="X841" s="2"/>
      <c r="Y841" s="2"/>
      <c r="Z841" s="2"/>
      <c r="AA841" s="2"/>
      <c r="AB841" s="2"/>
    </row>
    <row r="842" spans="1:28" ht="13">
      <c r="A842" s="2"/>
      <c r="B842" s="2"/>
      <c r="C842" s="2"/>
      <c r="D842" s="2"/>
      <c r="E842" s="2"/>
      <c r="F842" s="2"/>
      <c r="G842" s="43"/>
      <c r="H842" s="2"/>
      <c r="I842" s="2"/>
      <c r="J842" s="2"/>
      <c r="K842" s="2"/>
      <c r="L842" s="2"/>
      <c r="M842" s="2"/>
      <c r="N842" s="2"/>
      <c r="O842" s="2"/>
      <c r="P842" s="2"/>
      <c r="Q842" s="2"/>
      <c r="R842" s="2"/>
      <c r="S842" s="2"/>
      <c r="T842" s="2"/>
      <c r="U842" s="2"/>
      <c r="V842" s="2"/>
      <c r="W842" s="2"/>
      <c r="X842" s="2"/>
      <c r="Y842" s="2"/>
      <c r="Z842" s="2"/>
      <c r="AA842" s="2"/>
      <c r="AB842" s="2"/>
    </row>
    <row r="843" spans="1:28" ht="13">
      <c r="A843" s="2"/>
      <c r="B843" s="2"/>
      <c r="C843" s="2"/>
      <c r="D843" s="2"/>
      <c r="E843" s="2"/>
      <c r="F843" s="2"/>
      <c r="G843" s="43"/>
      <c r="H843" s="2"/>
      <c r="I843" s="2"/>
      <c r="J843" s="2"/>
      <c r="K843" s="2"/>
      <c r="L843" s="2"/>
      <c r="M843" s="2"/>
      <c r="N843" s="2"/>
      <c r="O843" s="2"/>
      <c r="P843" s="2"/>
      <c r="Q843" s="2"/>
      <c r="R843" s="2"/>
      <c r="S843" s="2"/>
      <c r="T843" s="2"/>
      <c r="U843" s="2"/>
      <c r="V843" s="2"/>
      <c r="W843" s="2"/>
      <c r="X843" s="2"/>
      <c r="Y843" s="2"/>
      <c r="Z843" s="2"/>
      <c r="AA843" s="2"/>
      <c r="AB843" s="2"/>
    </row>
    <row r="844" spans="1:28" ht="13">
      <c r="A844" s="2"/>
      <c r="B844" s="2"/>
      <c r="C844" s="2"/>
      <c r="D844" s="2"/>
      <c r="E844" s="2"/>
      <c r="F844" s="2"/>
      <c r="G844" s="43"/>
      <c r="H844" s="2"/>
      <c r="I844" s="2"/>
      <c r="J844" s="2"/>
      <c r="K844" s="2"/>
      <c r="L844" s="2"/>
      <c r="M844" s="2"/>
      <c r="N844" s="2"/>
      <c r="O844" s="2"/>
      <c r="P844" s="2"/>
      <c r="Q844" s="2"/>
      <c r="R844" s="2"/>
      <c r="S844" s="2"/>
      <c r="T844" s="2"/>
      <c r="U844" s="2"/>
      <c r="V844" s="2"/>
      <c r="W844" s="2"/>
      <c r="X844" s="2"/>
      <c r="Y844" s="2"/>
      <c r="Z844" s="2"/>
      <c r="AA844" s="2"/>
      <c r="AB844" s="2"/>
    </row>
    <row r="845" spans="1:28" ht="13">
      <c r="A845" s="2"/>
      <c r="B845" s="2"/>
      <c r="C845" s="2"/>
      <c r="D845" s="2"/>
      <c r="E845" s="2"/>
      <c r="F845" s="2"/>
      <c r="G845" s="43"/>
      <c r="H845" s="2"/>
      <c r="I845" s="2"/>
      <c r="J845" s="2"/>
      <c r="K845" s="2"/>
      <c r="L845" s="2"/>
      <c r="M845" s="2"/>
      <c r="N845" s="2"/>
      <c r="O845" s="2"/>
      <c r="P845" s="2"/>
      <c r="Q845" s="2"/>
      <c r="R845" s="2"/>
      <c r="S845" s="2"/>
      <c r="T845" s="2"/>
      <c r="U845" s="2"/>
      <c r="V845" s="2"/>
      <c r="W845" s="2"/>
      <c r="X845" s="2"/>
      <c r="Y845" s="2"/>
      <c r="Z845" s="2"/>
      <c r="AA845" s="2"/>
      <c r="AB845" s="2"/>
    </row>
    <row r="846" spans="1:28" ht="13">
      <c r="A846" s="2"/>
      <c r="B846" s="2"/>
      <c r="C846" s="2"/>
      <c r="D846" s="2"/>
      <c r="E846" s="2"/>
      <c r="F846" s="2"/>
      <c r="G846" s="43"/>
      <c r="H846" s="2"/>
      <c r="I846" s="2"/>
      <c r="J846" s="2"/>
      <c r="K846" s="2"/>
      <c r="L846" s="2"/>
      <c r="M846" s="2"/>
      <c r="N846" s="2"/>
      <c r="O846" s="2"/>
      <c r="P846" s="2"/>
      <c r="Q846" s="2"/>
      <c r="R846" s="2"/>
      <c r="S846" s="2"/>
      <c r="T846" s="2"/>
      <c r="U846" s="2"/>
      <c r="V846" s="2"/>
      <c r="W846" s="2"/>
      <c r="X846" s="2"/>
      <c r="Y846" s="2"/>
      <c r="Z846" s="2"/>
      <c r="AA846" s="2"/>
      <c r="AB846" s="2"/>
    </row>
    <row r="847" spans="1:28" ht="13">
      <c r="A847" s="2"/>
      <c r="B847" s="2"/>
      <c r="C847" s="2"/>
      <c r="D847" s="2"/>
      <c r="E847" s="2"/>
      <c r="F847" s="2"/>
      <c r="G847" s="43"/>
      <c r="H847" s="2"/>
      <c r="I847" s="2"/>
      <c r="J847" s="2"/>
      <c r="K847" s="2"/>
      <c r="L847" s="2"/>
      <c r="M847" s="2"/>
      <c r="N847" s="2"/>
      <c r="O847" s="2"/>
      <c r="P847" s="2"/>
      <c r="Q847" s="2"/>
      <c r="R847" s="2"/>
      <c r="S847" s="2"/>
      <c r="T847" s="2"/>
      <c r="U847" s="2"/>
      <c r="V847" s="2"/>
      <c r="W847" s="2"/>
      <c r="X847" s="2"/>
      <c r="Y847" s="2"/>
      <c r="Z847" s="2"/>
      <c r="AA847" s="2"/>
      <c r="AB847" s="2"/>
    </row>
    <row r="848" spans="1:28" ht="13">
      <c r="A848" s="2"/>
      <c r="B848" s="2"/>
      <c r="C848" s="2"/>
      <c r="D848" s="2"/>
      <c r="E848" s="2"/>
      <c r="F848" s="2"/>
      <c r="G848" s="43"/>
      <c r="H848" s="2"/>
      <c r="I848" s="2"/>
      <c r="J848" s="2"/>
      <c r="K848" s="2"/>
      <c r="L848" s="2"/>
      <c r="M848" s="2"/>
      <c r="N848" s="2"/>
      <c r="O848" s="2"/>
      <c r="P848" s="2"/>
      <c r="Q848" s="2"/>
      <c r="R848" s="2"/>
      <c r="S848" s="2"/>
      <c r="T848" s="2"/>
      <c r="U848" s="2"/>
      <c r="V848" s="2"/>
      <c r="W848" s="2"/>
      <c r="X848" s="2"/>
      <c r="Y848" s="2"/>
      <c r="Z848" s="2"/>
      <c r="AA848" s="2"/>
      <c r="AB848" s="2"/>
    </row>
    <row r="849" spans="1:28" ht="13">
      <c r="A849" s="2"/>
      <c r="B849" s="2"/>
      <c r="C849" s="2"/>
      <c r="D849" s="2"/>
      <c r="E849" s="2"/>
      <c r="F849" s="2"/>
      <c r="G849" s="43"/>
      <c r="H849" s="2"/>
      <c r="I849" s="2"/>
      <c r="J849" s="2"/>
      <c r="K849" s="2"/>
      <c r="L849" s="2"/>
      <c r="M849" s="2"/>
      <c r="N849" s="2"/>
      <c r="O849" s="2"/>
      <c r="P849" s="2"/>
      <c r="Q849" s="2"/>
      <c r="R849" s="2"/>
      <c r="S849" s="2"/>
      <c r="T849" s="2"/>
      <c r="U849" s="2"/>
      <c r="V849" s="2"/>
      <c r="W849" s="2"/>
      <c r="X849" s="2"/>
      <c r="Y849" s="2"/>
      <c r="Z849" s="2"/>
      <c r="AA849" s="2"/>
      <c r="AB849" s="2"/>
    </row>
    <row r="850" spans="1:28" ht="13">
      <c r="A850" s="2"/>
      <c r="B850" s="2"/>
      <c r="C850" s="2"/>
      <c r="D850" s="2"/>
      <c r="E850" s="2"/>
      <c r="F850" s="2"/>
      <c r="G850" s="43"/>
      <c r="H850" s="2"/>
      <c r="I850" s="2"/>
      <c r="J850" s="2"/>
      <c r="K850" s="2"/>
      <c r="L850" s="2"/>
      <c r="M850" s="2"/>
      <c r="N850" s="2"/>
      <c r="O850" s="2"/>
      <c r="P850" s="2"/>
      <c r="Q850" s="2"/>
      <c r="R850" s="2"/>
      <c r="S850" s="2"/>
      <c r="T850" s="2"/>
      <c r="U850" s="2"/>
      <c r="V850" s="2"/>
      <c r="W850" s="2"/>
      <c r="X850" s="2"/>
      <c r="Y850" s="2"/>
      <c r="Z850" s="2"/>
      <c r="AA850" s="2"/>
      <c r="AB850" s="2"/>
    </row>
    <row r="851" spans="1:28" ht="13">
      <c r="A851" s="2"/>
      <c r="B851" s="2"/>
      <c r="C851" s="2"/>
      <c r="D851" s="2"/>
      <c r="E851" s="2"/>
      <c r="F851" s="2"/>
      <c r="G851" s="43"/>
      <c r="H851" s="2"/>
      <c r="I851" s="2"/>
      <c r="J851" s="2"/>
      <c r="K851" s="2"/>
      <c r="L851" s="2"/>
      <c r="M851" s="2"/>
      <c r="N851" s="2"/>
      <c r="O851" s="2"/>
      <c r="P851" s="2"/>
      <c r="Q851" s="2"/>
      <c r="R851" s="2"/>
      <c r="S851" s="2"/>
      <c r="T851" s="2"/>
      <c r="U851" s="2"/>
      <c r="V851" s="2"/>
      <c r="W851" s="2"/>
      <c r="X851" s="2"/>
      <c r="Y851" s="2"/>
      <c r="Z851" s="2"/>
      <c r="AA851" s="2"/>
      <c r="AB851" s="2"/>
    </row>
    <row r="852" spans="1:28" ht="13">
      <c r="A852" s="2"/>
      <c r="B852" s="2"/>
      <c r="C852" s="2"/>
      <c r="D852" s="2"/>
      <c r="E852" s="2"/>
      <c r="F852" s="2"/>
      <c r="G852" s="43"/>
      <c r="H852" s="2"/>
      <c r="I852" s="2"/>
      <c r="J852" s="2"/>
      <c r="K852" s="2"/>
      <c r="L852" s="2"/>
      <c r="M852" s="2"/>
      <c r="N852" s="2"/>
      <c r="O852" s="2"/>
      <c r="P852" s="2"/>
      <c r="Q852" s="2"/>
      <c r="R852" s="2"/>
      <c r="S852" s="2"/>
      <c r="T852" s="2"/>
      <c r="U852" s="2"/>
      <c r="V852" s="2"/>
      <c r="W852" s="2"/>
      <c r="X852" s="2"/>
      <c r="Y852" s="2"/>
      <c r="Z852" s="2"/>
      <c r="AA852" s="2"/>
      <c r="AB852" s="2"/>
    </row>
    <row r="853" spans="1:28" ht="13">
      <c r="A853" s="2"/>
      <c r="B853" s="2"/>
      <c r="C853" s="2"/>
      <c r="D853" s="2"/>
      <c r="E853" s="2"/>
      <c r="F853" s="2"/>
      <c r="G853" s="43"/>
      <c r="H853" s="2"/>
      <c r="I853" s="2"/>
      <c r="J853" s="2"/>
      <c r="K853" s="2"/>
      <c r="L853" s="2"/>
      <c r="M853" s="2"/>
      <c r="N853" s="2"/>
      <c r="O853" s="2"/>
      <c r="P853" s="2"/>
      <c r="Q853" s="2"/>
      <c r="R853" s="2"/>
      <c r="S853" s="2"/>
      <c r="T853" s="2"/>
      <c r="U853" s="2"/>
      <c r="V853" s="2"/>
      <c r="W853" s="2"/>
      <c r="X853" s="2"/>
      <c r="Y853" s="2"/>
      <c r="Z853" s="2"/>
      <c r="AA853" s="2"/>
      <c r="AB853" s="2"/>
    </row>
    <row r="854" spans="1:28" ht="13">
      <c r="A854" s="2"/>
      <c r="B854" s="2"/>
      <c r="C854" s="2"/>
      <c r="D854" s="2"/>
      <c r="E854" s="2"/>
      <c r="F854" s="2"/>
      <c r="G854" s="43"/>
      <c r="H854" s="2"/>
      <c r="I854" s="2"/>
      <c r="J854" s="2"/>
      <c r="K854" s="2"/>
      <c r="L854" s="2"/>
      <c r="M854" s="2"/>
      <c r="N854" s="2"/>
      <c r="O854" s="2"/>
      <c r="P854" s="2"/>
      <c r="Q854" s="2"/>
      <c r="R854" s="2"/>
      <c r="S854" s="2"/>
      <c r="T854" s="2"/>
      <c r="U854" s="2"/>
      <c r="V854" s="2"/>
      <c r="W854" s="2"/>
      <c r="X854" s="2"/>
      <c r="Y854" s="2"/>
      <c r="Z854" s="2"/>
      <c r="AA854" s="2"/>
      <c r="AB854" s="2"/>
    </row>
    <row r="855" spans="1:28" ht="13">
      <c r="A855" s="2"/>
      <c r="B855" s="2"/>
      <c r="C855" s="2"/>
      <c r="D855" s="2"/>
      <c r="E855" s="2"/>
      <c r="F855" s="2"/>
      <c r="G855" s="43"/>
      <c r="H855" s="2"/>
      <c r="I855" s="2"/>
      <c r="J855" s="2"/>
      <c r="K855" s="2"/>
      <c r="L855" s="2"/>
      <c r="M855" s="2"/>
      <c r="N855" s="2"/>
      <c r="O855" s="2"/>
      <c r="P855" s="2"/>
      <c r="Q855" s="2"/>
      <c r="R855" s="2"/>
      <c r="S855" s="2"/>
      <c r="T855" s="2"/>
      <c r="U855" s="2"/>
      <c r="V855" s="2"/>
      <c r="W855" s="2"/>
      <c r="X855" s="2"/>
      <c r="Y855" s="2"/>
      <c r="Z855" s="2"/>
      <c r="AA855" s="2"/>
      <c r="AB855" s="2"/>
    </row>
    <row r="856" spans="1:28" ht="13">
      <c r="A856" s="2"/>
      <c r="B856" s="2"/>
      <c r="C856" s="2"/>
      <c r="D856" s="2"/>
      <c r="E856" s="2"/>
      <c r="F856" s="2"/>
      <c r="G856" s="43"/>
      <c r="H856" s="2"/>
      <c r="I856" s="2"/>
      <c r="J856" s="2"/>
      <c r="K856" s="2"/>
      <c r="L856" s="2"/>
      <c r="M856" s="2"/>
      <c r="N856" s="2"/>
      <c r="O856" s="2"/>
      <c r="P856" s="2"/>
      <c r="Q856" s="2"/>
      <c r="R856" s="2"/>
      <c r="S856" s="2"/>
      <c r="T856" s="2"/>
      <c r="U856" s="2"/>
      <c r="V856" s="2"/>
      <c r="W856" s="2"/>
      <c r="X856" s="2"/>
      <c r="Y856" s="2"/>
      <c r="Z856" s="2"/>
      <c r="AA856" s="2"/>
      <c r="AB856" s="2"/>
    </row>
    <row r="857" spans="1:28" ht="13">
      <c r="A857" s="2"/>
      <c r="B857" s="2"/>
      <c r="C857" s="2"/>
      <c r="D857" s="2"/>
      <c r="E857" s="2"/>
      <c r="F857" s="2"/>
      <c r="G857" s="43"/>
      <c r="H857" s="2"/>
      <c r="I857" s="2"/>
      <c r="J857" s="2"/>
      <c r="K857" s="2"/>
      <c r="L857" s="2"/>
      <c r="M857" s="2"/>
      <c r="N857" s="2"/>
      <c r="O857" s="2"/>
      <c r="P857" s="2"/>
      <c r="Q857" s="2"/>
      <c r="R857" s="2"/>
      <c r="S857" s="2"/>
      <c r="T857" s="2"/>
      <c r="U857" s="2"/>
      <c r="V857" s="2"/>
      <c r="W857" s="2"/>
      <c r="X857" s="2"/>
      <c r="Y857" s="2"/>
      <c r="Z857" s="2"/>
      <c r="AA857" s="2"/>
      <c r="AB857" s="2"/>
    </row>
    <row r="858" spans="1:28" ht="13">
      <c r="A858" s="2"/>
      <c r="B858" s="2"/>
      <c r="C858" s="2"/>
      <c r="D858" s="2"/>
      <c r="E858" s="2"/>
      <c r="F858" s="2"/>
      <c r="G858" s="43"/>
      <c r="H858" s="2"/>
      <c r="I858" s="2"/>
      <c r="J858" s="2"/>
      <c r="K858" s="2"/>
      <c r="L858" s="2"/>
      <c r="M858" s="2"/>
      <c r="N858" s="2"/>
      <c r="O858" s="2"/>
      <c r="P858" s="2"/>
      <c r="Q858" s="2"/>
      <c r="R858" s="2"/>
      <c r="S858" s="2"/>
      <c r="T858" s="2"/>
      <c r="U858" s="2"/>
      <c r="V858" s="2"/>
      <c r="W858" s="2"/>
      <c r="X858" s="2"/>
      <c r="Y858" s="2"/>
      <c r="Z858" s="2"/>
      <c r="AA858" s="2"/>
      <c r="AB858" s="2"/>
    </row>
    <row r="859" spans="1:28" ht="13">
      <c r="A859" s="2"/>
      <c r="B859" s="2"/>
      <c r="C859" s="2"/>
      <c r="D859" s="2"/>
      <c r="E859" s="2"/>
      <c r="F859" s="2"/>
      <c r="G859" s="43"/>
      <c r="H859" s="2"/>
      <c r="I859" s="2"/>
      <c r="J859" s="2"/>
      <c r="K859" s="2"/>
      <c r="L859" s="2"/>
      <c r="M859" s="2"/>
      <c r="N859" s="2"/>
      <c r="O859" s="2"/>
      <c r="P859" s="2"/>
      <c r="Q859" s="2"/>
      <c r="R859" s="2"/>
      <c r="S859" s="2"/>
      <c r="T859" s="2"/>
      <c r="U859" s="2"/>
      <c r="V859" s="2"/>
      <c r="W859" s="2"/>
      <c r="X859" s="2"/>
      <c r="Y859" s="2"/>
      <c r="Z859" s="2"/>
      <c r="AA859" s="2"/>
      <c r="AB859" s="2"/>
    </row>
    <row r="860" spans="1:28" ht="13">
      <c r="A860" s="2"/>
      <c r="B860" s="2"/>
      <c r="C860" s="2"/>
      <c r="D860" s="2"/>
      <c r="E860" s="2"/>
      <c r="F860" s="2"/>
      <c r="G860" s="43"/>
      <c r="H860" s="2"/>
      <c r="I860" s="2"/>
      <c r="J860" s="2"/>
      <c r="K860" s="2"/>
      <c r="L860" s="2"/>
      <c r="M860" s="2"/>
      <c r="N860" s="2"/>
      <c r="O860" s="2"/>
      <c r="P860" s="2"/>
      <c r="Q860" s="2"/>
      <c r="R860" s="2"/>
      <c r="S860" s="2"/>
      <c r="T860" s="2"/>
      <c r="U860" s="2"/>
      <c r="V860" s="2"/>
      <c r="W860" s="2"/>
      <c r="X860" s="2"/>
      <c r="Y860" s="2"/>
      <c r="Z860" s="2"/>
      <c r="AA860" s="2"/>
      <c r="AB860" s="2"/>
    </row>
    <row r="861" spans="1:28" ht="13">
      <c r="A861" s="2"/>
      <c r="B861" s="2"/>
      <c r="C861" s="2"/>
      <c r="D861" s="2"/>
      <c r="E861" s="2"/>
      <c r="F861" s="2"/>
      <c r="G861" s="43"/>
      <c r="H861" s="2"/>
      <c r="I861" s="2"/>
      <c r="J861" s="2"/>
      <c r="K861" s="2"/>
      <c r="L861" s="2"/>
      <c r="M861" s="2"/>
      <c r="N861" s="2"/>
      <c r="O861" s="2"/>
      <c r="P861" s="2"/>
      <c r="Q861" s="2"/>
      <c r="R861" s="2"/>
      <c r="S861" s="2"/>
      <c r="T861" s="2"/>
      <c r="U861" s="2"/>
      <c r="V861" s="2"/>
      <c r="W861" s="2"/>
      <c r="X861" s="2"/>
      <c r="Y861" s="2"/>
      <c r="Z861" s="2"/>
      <c r="AA861" s="2"/>
      <c r="AB861" s="2"/>
    </row>
    <row r="862" spans="1:28" ht="13">
      <c r="A862" s="2"/>
      <c r="B862" s="2"/>
      <c r="C862" s="2"/>
      <c r="D862" s="2"/>
      <c r="E862" s="2"/>
      <c r="F862" s="2"/>
      <c r="G862" s="43"/>
      <c r="H862" s="2"/>
      <c r="I862" s="2"/>
      <c r="J862" s="2"/>
      <c r="K862" s="2"/>
      <c r="L862" s="2"/>
      <c r="M862" s="2"/>
      <c r="N862" s="2"/>
      <c r="O862" s="2"/>
      <c r="P862" s="2"/>
      <c r="Q862" s="2"/>
      <c r="R862" s="2"/>
      <c r="S862" s="2"/>
      <c r="T862" s="2"/>
      <c r="U862" s="2"/>
      <c r="V862" s="2"/>
      <c r="W862" s="2"/>
      <c r="X862" s="2"/>
      <c r="Y862" s="2"/>
      <c r="Z862" s="2"/>
      <c r="AA862" s="2"/>
      <c r="AB862" s="2"/>
    </row>
    <row r="863" spans="1:28" ht="13">
      <c r="A863" s="2"/>
      <c r="B863" s="2"/>
      <c r="C863" s="2"/>
      <c r="D863" s="2"/>
      <c r="E863" s="2"/>
      <c r="F863" s="2"/>
      <c r="G863" s="43"/>
      <c r="H863" s="2"/>
      <c r="I863" s="2"/>
      <c r="J863" s="2"/>
      <c r="K863" s="2"/>
      <c r="L863" s="2"/>
      <c r="M863" s="2"/>
      <c r="N863" s="2"/>
      <c r="O863" s="2"/>
      <c r="P863" s="2"/>
      <c r="Q863" s="2"/>
      <c r="R863" s="2"/>
      <c r="S863" s="2"/>
      <c r="T863" s="2"/>
      <c r="U863" s="2"/>
      <c r="V863" s="2"/>
      <c r="W863" s="2"/>
      <c r="X863" s="2"/>
      <c r="Y863" s="2"/>
      <c r="Z863" s="2"/>
      <c r="AA863" s="2"/>
      <c r="AB863" s="2"/>
    </row>
    <row r="864" spans="1:28" ht="13">
      <c r="A864" s="2"/>
      <c r="B864" s="2"/>
      <c r="C864" s="2"/>
      <c r="D864" s="2"/>
      <c r="E864" s="2"/>
      <c r="F864" s="2"/>
      <c r="G864" s="43"/>
      <c r="H864" s="2"/>
      <c r="I864" s="2"/>
      <c r="J864" s="2"/>
      <c r="K864" s="2"/>
      <c r="L864" s="2"/>
      <c r="M864" s="2"/>
      <c r="N864" s="2"/>
      <c r="O864" s="2"/>
      <c r="P864" s="2"/>
      <c r="Q864" s="2"/>
      <c r="R864" s="2"/>
      <c r="S864" s="2"/>
      <c r="T864" s="2"/>
      <c r="U864" s="2"/>
      <c r="V864" s="2"/>
      <c r="W864" s="2"/>
      <c r="X864" s="2"/>
      <c r="Y864" s="2"/>
      <c r="Z864" s="2"/>
      <c r="AA864" s="2"/>
      <c r="AB864" s="2"/>
    </row>
    <row r="865" spans="1:28" ht="13">
      <c r="A865" s="2"/>
      <c r="B865" s="2"/>
      <c r="C865" s="2"/>
      <c r="D865" s="2"/>
      <c r="E865" s="2"/>
      <c r="F865" s="2"/>
      <c r="G865" s="43"/>
      <c r="H865" s="2"/>
      <c r="I865" s="2"/>
      <c r="J865" s="2"/>
      <c r="K865" s="2"/>
      <c r="L865" s="2"/>
      <c r="M865" s="2"/>
      <c r="N865" s="2"/>
      <c r="O865" s="2"/>
      <c r="P865" s="2"/>
      <c r="Q865" s="2"/>
      <c r="R865" s="2"/>
      <c r="S865" s="2"/>
      <c r="T865" s="2"/>
      <c r="U865" s="2"/>
      <c r="V865" s="2"/>
      <c r="W865" s="2"/>
      <c r="X865" s="2"/>
      <c r="Y865" s="2"/>
      <c r="Z865" s="2"/>
      <c r="AA865" s="2"/>
      <c r="AB865" s="2"/>
    </row>
    <row r="866" spans="1:28" ht="13">
      <c r="A866" s="2"/>
      <c r="B866" s="2"/>
      <c r="C866" s="2"/>
      <c r="D866" s="2"/>
      <c r="E866" s="2"/>
      <c r="F866" s="2"/>
      <c r="G866" s="43"/>
      <c r="H866" s="2"/>
      <c r="I866" s="2"/>
      <c r="J866" s="2"/>
      <c r="K866" s="2"/>
      <c r="L866" s="2"/>
      <c r="M866" s="2"/>
      <c r="N866" s="2"/>
      <c r="O866" s="2"/>
      <c r="P866" s="2"/>
      <c r="Q866" s="2"/>
      <c r="R866" s="2"/>
      <c r="S866" s="2"/>
      <c r="T866" s="2"/>
      <c r="U866" s="2"/>
      <c r="V866" s="2"/>
      <c r="W866" s="2"/>
      <c r="X866" s="2"/>
      <c r="Y866" s="2"/>
      <c r="Z866" s="2"/>
      <c r="AA866" s="2"/>
      <c r="AB866" s="2"/>
    </row>
    <row r="867" spans="1:28" ht="13">
      <c r="A867" s="2"/>
      <c r="B867" s="2"/>
      <c r="C867" s="2"/>
      <c r="D867" s="2"/>
      <c r="E867" s="2"/>
      <c r="F867" s="2"/>
      <c r="G867" s="43"/>
      <c r="H867" s="2"/>
      <c r="I867" s="2"/>
      <c r="J867" s="2"/>
      <c r="K867" s="2"/>
      <c r="L867" s="2"/>
      <c r="M867" s="2"/>
      <c r="N867" s="2"/>
      <c r="O867" s="2"/>
      <c r="P867" s="2"/>
      <c r="Q867" s="2"/>
      <c r="R867" s="2"/>
      <c r="S867" s="2"/>
      <c r="T867" s="2"/>
      <c r="U867" s="2"/>
      <c r="V867" s="2"/>
      <c r="W867" s="2"/>
      <c r="X867" s="2"/>
      <c r="Y867" s="2"/>
      <c r="Z867" s="2"/>
      <c r="AA867" s="2"/>
      <c r="AB867" s="2"/>
    </row>
    <row r="868" spans="1:28" ht="13">
      <c r="A868" s="2"/>
      <c r="B868" s="2"/>
      <c r="C868" s="2"/>
      <c r="D868" s="2"/>
      <c r="E868" s="2"/>
      <c r="F868" s="2"/>
      <c r="G868" s="43"/>
      <c r="H868" s="2"/>
      <c r="I868" s="2"/>
      <c r="J868" s="2"/>
      <c r="K868" s="2"/>
      <c r="L868" s="2"/>
      <c r="M868" s="2"/>
      <c r="N868" s="2"/>
      <c r="O868" s="2"/>
      <c r="P868" s="2"/>
      <c r="Q868" s="2"/>
      <c r="R868" s="2"/>
      <c r="S868" s="2"/>
      <c r="T868" s="2"/>
      <c r="U868" s="2"/>
      <c r="V868" s="2"/>
      <c r="W868" s="2"/>
      <c r="X868" s="2"/>
      <c r="Y868" s="2"/>
      <c r="Z868" s="2"/>
      <c r="AA868" s="2"/>
      <c r="AB868" s="2"/>
    </row>
    <row r="869" spans="1:28" ht="13">
      <c r="A869" s="2"/>
      <c r="B869" s="2"/>
      <c r="C869" s="2"/>
      <c r="D869" s="2"/>
      <c r="E869" s="2"/>
      <c r="F869" s="2"/>
      <c r="G869" s="43"/>
      <c r="H869" s="2"/>
      <c r="I869" s="2"/>
      <c r="J869" s="2"/>
      <c r="K869" s="2"/>
      <c r="L869" s="2"/>
      <c r="M869" s="2"/>
      <c r="N869" s="2"/>
      <c r="O869" s="2"/>
      <c r="P869" s="2"/>
      <c r="Q869" s="2"/>
      <c r="R869" s="2"/>
      <c r="S869" s="2"/>
      <c r="T869" s="2"/>
      <c r="U869" s="2"/>
      <c r="V869" s="2"/>
      <c r="W869" s="2"/>
      <c r="X869" s="2"/>
      <c r="Y869" s="2"/>
      <c r="Z869" s="2"/>
      <c r="AA869" s="2"/>
      <c r="AB869" s="2"/>
    </row>
    <row r="870" spans="1:28" ht="13">
      <c r="A870" s="2"/>
      <c r="B870" s="2"/>
      <c r="C870" s="2"/>
      <c r="D870" s="2"/>
      <c r="E870" s="2"/>
      <c r="F870" s="2"/>
      <c r="G870" s="43"/>
      <c r="H870" s="2"/>
      <c r="I870" s="2"/>
      <c r="J870" s="2"/>
      <c r="K870" s="2"/>
      <c r="L870" s="2"/>
      <c r="M870" s="2"/>
      <c r="N870" s="2"/>
      <c r="O870" s="2"/>
      <c r="P870" s="2"/>
      <c r="Q870" s="2"/>
      <c r="R870" s="2"/>
      <c r="S870" s="2"/>
      <c r="T870" s="2"/>
      <c r="U870" s="2"/>
      <c r="V870" s="2"/>
      <c r="W870" s="2"/>
      <c r="X870" s="2"/>
      <c r="Y870" s="2"/>
      <c r="Z870" s="2"/>
      <c r="AA870" s="2"/>
      <c r="AB870" s="2"/>
    </row>
    <row r="871" spans="1:28" ht="13">
      <c r="A871" s="2"/>
      <c r="B871" s="2"/>
      <c r="C871" s="2"/>
      <c r="D871" s="2"/>
      <c r="E871" s="2"/>
      <c r="F871" s="2"/>
      <c r="G871" s="43"/>
      <c r="H871" s="2"/>
      <c r="I871" s="2"/>
      <c r="J871" s="2"/>
      <c r="K871" s="2"/>
      <c r="L871" s="2"/>
      <c r="M871" s="2"/>
      <c r="N871" s="2"/>
      <c r="O871" s="2"/>
      <c r="P871" s="2"/>
      <c r="Q871" s="2"/>
      <c r="R871" s="2"/>
      <c r="S871" s="2"/>
      <c r="T871" s="2"/>
      <c r="U871" s="2"/>
      <c r="V871" s="2"/>
      <c r="W871" s="2"/>
      <c r="X871" s="2"/>
      <c r="Y871" s="2"/>
      <c r="Z871" s="2"/>
      <c r="AA871" s="2"/>
      <c r="AB871" s="2"/>
    </row>
    <row r="872" spans="1:28" ht="13">
      <c r="A872" s="2"/>
      <c r="B872" s="2"/>
      <c r="C872" s="2"/>
      <c r="D872" s="2"/>
      <c r="E872" s="2"/>
      <c r="F872" s="2"/>
      <c r="G872" s="43"/>
      <c r="H872" s="2"/>
      <c r="I872" s="2"/>
      <c r="J872" s="2"/>
      <c r="K872" s="2"/>
      <c r="L872" s="2"/>
      <c r="M872" s="2"/>
      <c r="N872" s="2"/>
      <c r="O872" s="2"/>
      <c r="P872" s="2"/>
      <c r="Q872" s="2"/>
      <c r="R872" s="2"/>
      <c r="S872" s="2"/>
      <c r="T872" s="2"/>
      <c r="U872" s="2"/>
      <c r="V872" s="2"/>
      <c r="W872" s="2"/>
      <c r="X872" s="2"/>
      <c r="Y872" s="2"/>
      <c r="Z872" s="2"/>
      <c r="AA872" s="2"/>
      <c r="AB872" s="2"/>
    </row>
    <row r="873" spans="1:28" ht="13">
      <c r="A873" s="2"/>
      <c r="B873" s="2"/>
      <c r="C873" s="2"/>
      <c r="D873" s="2"/>
      <c r="E873" s="2"/>
      <c r="F873" s="2"/>
      <c r="G873" s="43"/>
      <c r="H873" s="2"/>
      <c r="I873" s="2"/>
      <c r="J873" s="2"/>
      <c r="K873" s="2"/>
      <c r="L873" s="2"/>
      <c r="M873" s="2"/>
      <c r="N873" s="2"/>
      <c r="O873" s="2"/>
      <c r="P873" s="2"/>
      <c r="Q873" s="2"/>
      <c r="R873" s="2"/>
      <c r="S873" s="2"/>
      <c r="T873" s="2"/>
      <c r="U873" s="2"/>
      <c r="V873" s="2"/>
      <c r="W873" s="2"/>
      <c r="X873" s="2"/>
      <c r="Y873" s="2"/>
      <c r="Z873" s="2"/>
      <c r="AA873" s="2"/>
      <c r="AB873" s="2"/>
    </row>
    <row r="874" spans="1:28" ht="13">
      <c r="A874" s="2"/>
      <c r="B874" s="2"/>
      <c r="C874" s="2"/>
      <c r="D874" s="2"/>
      <c r="E874" s="2"/>
      <c r="F874" s="2"/>
      <c r="G874" s="43"/>
      <c r="H874" s="2"/>
      <c r="I874" s="2"/>
      <c r="J874" s="2"/>
      <c r="K874" s="2"/>
      <c r="L874" s="2"/>
      <c r="M874" s="2"/>
      <c r="N874" s="2"/>
      <c r="O874" s="2"/>
      <c r="P874" s="2"/>
      <c r="Q874" s="2"/>
      <c r="R874" s="2"/>
      <c r="S874" s="2"/>
      <c r="T874" s="2"/>
      <c r="U874" s="2"/>
      <c r="V874" s="2"/>
      <c r="W874" s="2"/>
      <c r="X874" s="2"/>
      <c r="Y874" s="2"/>
      <c r="Z874" s="2"/>
      <c r="AA874" s="2"/>
      <c r="AB874" s="2"/>
    </row>
    <row r="875" spans="1:28" ht="13">
      <c r="A875" s="2"/>
      <c r="B875" s="2"/>
      <c r="C875" s="2"/>
      <c r="D875" s="2"/>
      <c r="E875" s="2"/>
      <c r="F875" s="2"/>
      <c r="G875" s="43"/>
      <c r="H875" s="2"/>
      <c r="I875" s="2"/>
      <c r="J875" s="2"/>
      <c r="K875" s="2"/>
      <c r="L875" s="2"/>
      <c r="M875" s="2"/>
      <c r="N875" s="2"/>
      <c r="O875" s="2"/>
      <c r="P875" s="2"/>
      <c r="Q875" s="2"/>
      <c r="R875" s="2"/>
      <c r="S875" s="2"/>
      <c r="T875" s="2"/>
      <c r="U875" s="2"/>
      <c r="V875" s="2"/>
      <c r="W875" s="2"/>
      <c r="X875" s="2"/>
      <c r="Y875" s="2"/>
      <c r="Z875" s="2"/>
      <c r="AA875" s="2"/>
      <c r="AB875" s="2"/>
    </row>
    <row r="876" spans="1:28" ht="13">
      <c r="A876" s="2"/>
      <c r="B876" s="2"/>
      <c r="C876" s="2"/>
      <c r="D876" s="2"/>
      <c r="E876" s="2"/>
      <c r="F876" s="2"/>
      <c r="G876" s="43"/>
      <c r="H876" s="2"/>
      <c r="I876" s="2"/>
      <c r="J876" s="2"/>
      <c r="K876" s="2"/>
      <c r="L876" s="2"/>
      <c r="M876" s="2"/>
      <c r="N876" s="2"/>
      <c r="O876" s="2"/>
      <c r="P876" s="2"/>
      <c r="Q876" s="2"/>
      <c r="R876" s="2"/>
      <c r="S876" s="2"/>
      <c r="T876" s="2"/>
      <c r="U876" s="2"/>
      <c r="V876" s="2"/>
      <c r="W876" s="2"/>
      <c r="X876" s="2"/>
      <c r="Y876" s="2"/>
      <c r="Z876" s="2"/>
      <c r="AA876" s="2"/>
      <c r="AB876" s="2"/>
    </row>
    <row r="877" spans="1:28" ht="13">
      <c r="A877" s="2"/>
      <c r="B877" s="2"/>
      <c r="C877" s="2"/>
      <c r="D877" s="2"/>
      <c r="E877" s="2"/>
      <c r="F877" s="2"/>
      <c r="G877" s="43"/>
      <c r="H877" s="2"/>
      <c r="I877" s="2"/>
      <c r="J877" s="2"/>
      <c r="K877" s="2"/>
      <c r="L877" s="2"/>
      <c r="M877" s="2"/>
      <c r="N877" s="2"/>
      <c r="O877" s="2"/>
      <c r="P877" s="2"/>
      <c r="Q877" s="2"/>
      <c r="R877" s="2"/>
      <c r="S877" s="2"/>
      <c r="T877" s="2"/>
      <c r="U877" s="2"/>
      <c r="V877" s="2"/>
      <c r="W877" s="2"/>
      <c r="X877" s="2"/>
      <c r="Y877" s="2"/>
      <c r="Z877" s="2"/>
      <c r="AA877" s="2"/>
      <c r="AB877" s="2"/>
    </row>
    <row r="878" spans="1:28" ht="13">
      <c r="A878" s="2"/>
      <c r="B878" s="2"/>
      <c r="C878" s="2"/>
      <c r="D878" s="2"/>
      <c r="E878" s="2"/>
      <c r="F878" s="2"/>
      <c r="G878" s="43"/>
      <c r="H878" s="2"/>
      <c r="I878" s="2"/>
      <c r="J878" s="2"/>
      <c r="K878" s="2"/>
      <c r="L878" s="2"/>
      <c r="M878" s="2"/>
      <c r="N878" s="2"/>
      <c r="O878" s="2"/>
      <c r="P878" s="2"/>
      <c r="Q878" s="2"/>
      <c r="R878" s="2"/>
      <c r="S878" s="2"/>
      <c r="T878" s="2"/>
      <c r="U878" s="2"/>
      <c r="V878" s="2"/>
      <c r="W878" s="2"/>
      <c r="X878" s="2"/>
      <c r="Y878" s="2"/>
      <c r="Z878" s="2"/>
      <c r="AA878" s="2"/>
      <c r="AB878" s="2"/>
    </row>
    <row r="879" spans="1:28" ht="13">
      <c r="A879" s="2"/>
      <c r="B879" s="2"/>
      <c r="C879" s="2"/>
      <c r="D879" s="2"/>
      <c r="E879" s="2"/>
      <c r="F879" s="2"/>
      <c r="G879" s="43"/>
      <c r="H879" s="2"/>
      <c r="I879" s="2"/>
      <c r="J879" s="2"/>
      <c r="K879" s="2"/>
      <c r="L879" s="2"/>
      <c r="M879" s="2"/>
      <c r="N879" s="2"/>
      <c r="O879" s="2"/>
      <c r="P879" s="2"/>
      <c r="Q879" s="2"/>
      <c r="R879" s="2"/>
      <c r="S879" s="2"/>
      <c r="T879" s="2"/>
      <c r="U879" s="2"/>
      <c r="V879" s="2"/>
      <c r="W879" s="2"/>
      <c r="X879" s="2"/>
      <c r="Y879" s="2"/>
      <c r="Z879" s="2"/>
      <c r="AA879" s="2"/>
      <c r="AB879" s="2"/>
    </row>
    <row r="880" spans="1:28" ht="13">
      <c r="A880" s="2"/>
      <c r="B880" s="2"/>
      <c r="C880" s="2"/>
      <c r="D880" s="2"/>
      <c r="E880" s="2"/>
      <c r="F880" s="2"/>
      <c r="G880" s="43"/>
      <c r="H880" s="2"/>
      <c r="I880" s="2"/>
      <c r="J880" s="2"/>
      <c r="K880" s="2"/>
      <c r="L880" s="2"/>
      <c r="M880" s="2"/>
      <c r="N880" s="2"/>
      <c r="O880" s="2"/>
      <c r="P880" s="2"/>
      <c r="Q880" s="2"/>
      <c r="R880" s="2"/>
      <c r="S880" s="2"/>
      <c r="T880" s="2"/>
      <c r="U880" s="2"/>
      <c r="V880" s="2"/>
      <c r="W880" s="2"/>
      <c r="X880" s="2"/>
      <c r="Y880" s="2"/>
      <c r="Z880" s="2"/>
      <c r="AA880" s="2"/>
      <c r="AB880" s="2"/>
    </row>
    <row r="881" spans="1:28" ht="13">
      <c r="A881" s="2"/>
      <c r="B881" s="2"/>
      <c r="C881" s="2"/>
      <c r="D881" s="2"/>
      <c r="E881" s="2"/>
      <c r="F881" s="2"/>
      <c r="G881" s="43"/>
      <c r="H881" s="2"/>
      <c r="I881" s="2"/>
      <c r="J881" s="2"/>
      <c r="K881" s="2"/>
      <c r="L881" s="2"/>
      <c r="M881" s="2"/>
      <c r="N881" s="2"/>
      <c r="O881" s="2"/>
      <c r="P881" s="2"/>
      <c r="Q881" s="2"/>
      <c r="R881" s="2"/>
      <c r="S881" s="2"/>
      <c r="T881" s="2"/>
      <c r="U881" s="2"/>
      <c r="V881" s="2"/>
      <c r="W881" s="2"/>
      <c r="X881" s="2"/>
      <c r="Y881" s="2"/>
      <c r="Z881" s="2"/>
      <c r="AA881" s="2"/>
      <c r="AB881" s="2"/>
    </row>
    <row r="882" spans="1:28" ht="13">
      <c r="A882" s="2"/>
      <c r="B882" s="2"/>
      <c r="C882" s="2"/>
      <c r="D882" s="2"/>
      <c r="E882" s="2"/>
      <c r="F882" s="2"/>
      <c r="G882" s="43"/>
      <c r="H882" s="2"/>
      <c r="I882" s="2"/>
      <c r="J882" s="2"/>
      <c r="K882" s="2"/>
      <c r="L882" s="2"/>
      <c r="M882" s="2"/>
      <c r="N882" s="2"/>
      <c r="O882" s="2"/>
      <c r="P882" s="2"/>
      <c r="Q882" s="2"/>
      <c r="R882" s="2"/>
      <c r="S882" s="2"/>
      <c r="T882" s="2"/>
      <c r="U882" s="2"/>
      <c r="V882" s="2"/>
      <c r="W882" s="2"/>
      <c r="X882" s="2"/>
      <c r="Y882" s="2"/>
      <c r="Z882" s="2"/>
      <c r="AA882" s="2"/>
      <c r="AB882" s="2"/>
    </row>
    <row r="883" spans="1:28" ht="13">
      <c r="A883" s="2"/>
      <c r="B883" s="2"/>
      <c r="C883" s="2"/>
      <c r="D883" s="2"/>
      <c r="E883" s="2"/>
      <c r="F883" s="2"/>
      <c r="G883" s="43"/>
      <c r="H883" s="2"/>
      <c r="I883" s="2"/>
      <c r="J883" s="2"/>
      <c r="K883" s="2"/>
      <c r="L883" s="2"/>
      <c r="M883" s="2"/>
      <c r="N883" s="2"/>
      <c r="O883" s="2"/>
      <c r="P883" s="2"/>
      <c r="Q883" s="2"/>
      <c r="R883" s="2"/>
      <c r="S883" s="2"/>
      <c r="T883" s="2"/>
      <c r="U883" s="2"/>
      <c r="V883" s="2"/>
      <c r="W883" s="2"/>
      <c r="X883" s="2"/>
      <c r="Y883" s="2"/>
      <c r="Z883" s="2"/>
      <c r="AA883" s="2"/>
      <c r="AB883" s="2"/>
    </row>
    <row r="884" spans="1:28" ht="13">
      <c r="A884" s="2"/>
      <c r="B884" s="2"/>
      <c r="C884" s="2"/>
      <c r="D884" s="2"/>
      <c r="E884" s="2"/>
      <c r="F884" s="2"/>
      <c r="G884" s="43"/>
      <c r="H884" s="2"/>
      <c r="I884" s="2"/>
      <c r="J884" s="2"/>
      <c r="K884" s="2"/>
      <c r="L884" s="2"/>
      <c r="M884" s="2"/>
      <c r="N884" s="2"/>
      <c r="O884" s="2"/>
      <c r="P884" s="2"/>
      <c r="Q884" s="2"/>
      <c r="R884" s="2"/>
      <c r="S884" s="2"/>
      <c r="T884" s="2"/>
      <c r="U884" s="2"/>
      <c r="V884" s="2"/>
      <c r="W884" s="2"/>
      <c r="X884" s="2"/>
      <c r="Y884" s="2"/>
      <c r="Z884" s="2"/>
      <c r="AA884" s="2"/>
      <c r="AB884" s="2"/>
    </row>
    <row r="885" spans="1:28" ht="13">
      <c r="A885" s="2"/>
      <c r="B885" s="2"/>
      <c r="C885" s="2"/>
      <c r="D885" s="2"/>
      <c r="E885" s="2"/>
      <c r="F885" s="2"/>
      <c r="G885" s="43"/>
      <c r="H885" s="2"/>
      <c r="I885" s="2"/>
      <c r="J885" s="2"/>
      <c r="K885" s="2"/>
      <c r="L885" s="2"/>
      <c r="M885" s="2"/>
      <c r="N885" s="2"/>
      <c r="O885" s="2"/>
      <c r="P885" s="2"/>
      <c r="Q885" s="2"/>
      <c r="R885" s="2"/>
      <c r="S885" s="2"/>
      <c r="T885" s="2"/>
      <c r="U885" s="2"/>
      <c r="V885" s="2"/>
      <c r="W885" s="2"/>
      <c r="X885" s="2"/>
      <c r="Y885" s="2"/>
      <c r="Z885" s="2"/>
      <c r="AA885" s="2"/>
      <c r="AB885" s="2"/>
    </row>
    <row r="886" spans="1:28" ht="13">
      <c r="A886" s="2"/>
      <c r="B886" s="2"/>
      <c r="C886" s="2"/>
      <c r="D886" s="2"/>
      <c r="E886" s="2"/>
      <c r="F886" s="2"/>
      <c r="G886" s="43"/>
      <c r="H886" s="2"/>
      <c r="I886" s="2"/>
      <c r="J886" s="2"/>
      <c r="K886" s="2"/>
      <c r="L886" s="2"/>
      <c r="M886" s="2"/>
      <c r="N886" s="2"/>
      <c r="O886" s="2"/>
      <c r="P886" s="2"/>
      <c r="Q886" s="2"/>
      <c r="R886" s="2"/>
      <c r="S886" s="2"/>
      <c r="T886" s="2"/>
      <c r="U886" s="2"/>
      <c r="V886" s="2"/>
      <c r="W886" s="2"/>
      <c r="X886" s="2"/>
      <c r="Y886" s="2"/>
      <c r="Z886" s="2"/>
      <c r="AA886" s="2"/>
      <c r="AB886" s="2"/>
    </row>
    <row r="887" spans="1:28" ht="13">
      <c r="A887" s="2"/>
      <c r="B887" s="2"/>
      <c r="C887" s="2"/>
      <c r="D887" s="2"/>
      <c r="E887" s="2"/>
      <c r="F887" s="2"/>
      <c r="G887" s="43"/>
      <c r="H887" s="2"/>
      <c r="I887" s="2"/>
      <c r="J887" s="2"/>
      <c r="K887" s="2"/>
      <c r="L887" s="2"/>
      <c r="M887" s="2"/>
      <c r="N887" s="2"/>
      <c r="O887" s="2"/>
      <c r="P887" s="2"/>
      <c r="Q887" s="2"/>
      <c r="R887" s="2"/>
      <c r="S887" s="2"/>
      <c r="T887" s="2"/>
      <c r="U887" s="2"/>
      <c r="V887" s="2"/>
      <c r="W887" s="2"/>
      <c r="X887" s="2"/>
      <c r="Y887" s="2"/>
      <c r="Z887" s="2"/>
      <c r="AA887" s="2"/>
      <c r="AB887" s="2"/>
    </row>
    <row r="888" spans="1:28" ht="13">
      <c r="A888" s="2"/>
      <c r="B888" s="2"/>
      <c r="C888" s="2"/>
      <c r="D888" s="2"/>
      <c r="E888" s="2"/>
      <c r="F888" s="2"/>
      <c r="G888" s="43"/>
      <c r="H888" s="2"/>
      <c r="I888" s="2"/>
      <c r="J888" s="2"/>
      <c r="K888" s="2"/>
      <c r="L888" s="2"/>
      <c r="M888" s="2"/>
      <c r="N888" s="2"/>
      <c r="O888" s="2"/>
      <c r="P888" s="2"/>
      <c r="Q888" s="2"/>
      <c r="R888" s="2"/>
      <c r="S888" s="2"/>
      <c r="T888" s="2"/>
      <c r="U888" s="2"/>
      <c r="V888" s="2"/>
      <c r="W888" s="2"/>
      <c r="X888" s="2"/>
      <c r="Y888" s="2"/>
      <c r="Z888" s="2"/>
      <c r="AA888" s="2"/>
      <c r="AB888" s="2"/>
    </row>
    <row r="889" spans="1:28" ht="13">
      <c r="A889" s="2"/>
      <c r="B889" s="2"/>
      <c r="C889" s="2"/>
      <c r="D889" s="2"/>
      <c r="E889" s="2"/>
      <c r="F889" s="2"/>
      <c r="G889" s="43"/>
      <c r="H889" s="2"/>
      <c r="I889" s="2"/>
      <c r="J889" s="2"/>
      <c r="K889" s="2"/>
      <c r="L889" s="2"/>
      <c r="M889" s="2"/>
      <c r="N889" s="2"/>
      <c r="O889" s="2"/>
      <c r="P889" s="2"/>
      <c r="Q889" s="2"/>
      <c r="R889" s="2"/>
      <c r="S889" s="2"/>
      <c r="T889" s="2"/>
      <c r="U889" s="2"/>
      <c r="V889" s="2"/>
      <c r="W889" s="2"/>
      <c r="X889" s="2"/>
      <c r="Y889" s="2"/>
      <c r="Z889" s="2"/>
      <c r="AA889" s="2"/>
      <c r="AB889" s="2"/>
    </row>
    <row r="890" spans="1:28" ht="13">
      <c r="A890" s="2"/>
      <c r="B890" s="2"/>
      <c r="C890" s="2"/>
      <c r="D890" s="2"/>
      <c r="E890" s="2"/>
      <c r="F890" s="2"/>
      <c r="G890" s="43"/>
      <c r="H890" s="2"/>
      <c r="I890" s="2"/>
      <c r="J890" s="2"/>
      <c r="K890" s="2"/>
      <c r="L890" s="2"/>
      <c r="M890" s="2"/>
      <c r="N890" s="2"/>
      <c r="O890" s="2"/>
      <c r="P890" s="2"/>
      <c r="Q890" s="2"/>
      <c r="R890" s="2"/>
      <c r="S890" s="2"/>
      <c r="T890" s="2"/>
      <c r="U890" s="2"/>
      <c r="V890" s="2"/>
      <c r="W890" s="2"/>
      <c r="X890" s="2"/>
      <c r="Y890" s="2"/>
      <c r="Z890" s="2"/>
      <c r="AA890" s="2"/>
      <c r="AB890" s="2"/>
    </row>
    <row r="891" spans="1:28" ht="13">
      <c r="A891" s="2"/>
      <c r="B891" s="2"/>
      <c r="C891" s="2"/>
      <c r="D891" s="2"/>
      <c r="E891" s="2"/>
      <c r="F891" s="2"/>
      <c r="G891" s="43"/>
      <c r="H891" s="2"/>
      <c r="I891" s="2"/>
      <c r="J891" s="2"/>
      <c r="K891" s="2"/>
      <c r="L891" s="2"/>
      <c r="M891" s="2"/>
      <c r="N891" s="2"/>
      <c r="O891" s="2"/>
      <c r="P891" s="2"/>
      <c r="Q891" s="2"/>
      <c r="R891" s="2"/>
      <c r="S891" s="2"/>
      <c r="T891" s="2"/>
      <c r="U891" s="2"/>
      <c r="V891" s="2"/>
      <c r="W891" s="2"/>
      <c r="X891" s="2"/>
      <c r="Y891" s="2"/>
      <c r="Z891" s="2"/>
      <c r="AA891" s="2"/>
      <c r="AB891" s="2"/>
    </row>
    <row r="892" spans="1:28" ht="13">
      <c r="A892" s="2"/>
      <c r="B892" s="2"/>
      <c r="C892" s="2"/>
      <c r="D892" s="2"/>
      <c r="E892" s="2"/>
      <c r="F892" s="2"/>
      <c r="G892" s="43"/>
      <c r="H892" s="2"/>
      <c r="I892" s="2"/>
      <c r="J892" s="2"/>
      <c r="K892" s="2"/>
      <c r="L892" s="2"/>
      <c r="M892" s="2"/>
      <c r="N892" s="2"/>
      <c r="O892" s="2"/>
      <c r="P892" s="2"/>
      <c r="Q892" s="2"/>
      <c r="R892" s="2"/>
      <c r="S892" s="2"/>
      <c r="T892" s="2"/>
      <c r="U892" s="2"/>
      <c r="V892" s="2"/>
      <c r="W892" s="2"/>
      <c r="X892" s="2"/>
      <c r="Y892" s="2"/>
      <c r="Z892" s="2"/>
      <c r="AA892" s="2"/>
      <c r="AB892" s="2"/>
    </row>
    <row r="893" spans="1:28" ht="13">
      <c r="A893" s="2"/>
      <c r="B893" s="2"/>
      <c r="C893" s="2"/>
      <c r="D893" s="2"/>
      <c r="E893" s="2"/>
      <c r="F893" s="2"/>
      <c r="G893" s="43"/>
      <c r="H893" s="2"/>
      <c r="I893" s="2"/>
      <c r="J893" s="2"/>
      <c r="K893" s="2"/>
      <c r="L893" s="2"/>
      <c r="M893" s="2"/>
      <c r="N893" s="2"/>
      <c r="O893" s="2"/>
      <c r="P893" s="2"/>
      <c r="Q893" s="2"/>
      <c r="R893" s="2"/>
      <c r="S893" s="2"/>
      <c r="T893" s="2"/>
      <c r="U893" s="2"/>
      <c r="V893" s="2"/>
      <c r="W893" s="2"/>
      <c r="X893" s="2"/>
      <c r="Y893" s="2"/>
      <c r="Z893" s="2"/>
      <c r="AA893" s="2"/>
      <c r="AB893" s="2"/>
    </row>
    <row r="894" spans="1:28" ht="13">
      <c r="A894" s="2"/>
      <c r="B894" s="2"/>
      <c r="C894" s="2"/>
      <c r="D894" s="2"/>
      <c r="E894" s="2"/>
      <c r="F894" s="2"/>
      <c r="G894" s="43"/>
      <c r="H894" s="2"/>
      <c r="I894" s="2"/>
      <c r="J894" s="2"/>
      <c r="K894" s="2"/>
      <c r="L894" s="2"/>
      <c r="M894" s="2"/>
      <c r="N894" s="2"/>
      <c r="O894" s="2"/>
      <c r="P894" s="2"/>
      <c r="Q894" s="2"/>
      <c r="R894" s="2"/>
      <c r="S894" s="2"/>
      <c r="T894" s="2"/>
      <c r="U894" s="2"/>
      <c r="V894" s="2"/>
      <c r="W894" s="2"/>
      <c r="X894" s="2"/>
      <c r="Y894" s="2"/>
      <c r="Z894" s="2"/>
      <c r="AA894" s="2"/>
      <c r="AB894" s="2"/>
    </row>
    <row r="895" spans="1:28" ht="13">
      <c r="A895" s="2"/>
      <c r="B895" s="2"/>
      <c r="C895" s="2"/>
      <c r="D895" s="2"/>
      <c r="E895" s="2"/>
      <c r="F895" s="2"/>
      <c r="G895" s="43"/>
      <c r="H895" s="2"/>
      <c r="I895" s="2"/>
      <c r="J895" s="2"/>
      <c r="K895" s="2"/>
      <c r="L895" s="2"/>
      <c r="M895" s="2"/>
      <c r="N895" s="2"/>
      <c r="O895" s="2"/>
      <c r="P895" s="2"/>
      <c r="Q895" s="2"/>
      <c r="R895" s="2"/>
      <c r="S895" s="2"/>
      <c r="T895" s="2"/>
      <c r="U895" s="2"/>
      <c r="V895" s="2"/>
      <c r="W895" s="2"/>
      <c r="X895" s="2"/>
      <c r="Y895" s="2"/>
      <c r="Z895" s="2"/>
      <c r="AA895" s="2"/>
      <c r="AB895" s="2"/>
    </row>
    <row r="896" spans="1:28" ht="13">
      <c r="A896" s="2"/>
      <c r="B896" s="2"/>
      <c r="C896" s="2"/>
      <c r="D896" s="2"/>
      <c r="E896" s="2"/>
      <c r="F896" s="2"/>
      <c r="G896" s="43"/>
      <c r="H896" s="2"/>
      <c r="I896" s="2"/>
      <c r="J896" s="2"/>
      <c r="K896" s="2"/>
      <c r="L896" s="2"/>
      <c r="M896" s="2"/>
      <c r="N896" s="2"/>
      <c r="O896" s="2"/>
      <c r="P896" s="2"/>
      <c r="Q896" s="2"/>
      <c r="R896" s="2"/>
      <c r="S896" s="2"/>
      <c r="T896" s="2"/>
      <c r="U896" s="2"/>
      <c r="V896" s="2"/>
      <c r="W896" s="2"/>
      <c r="X896" s="2"/>
      <c r="Y896" s="2"/>
      <c r="Z896" s="2"/>
      <c r="AA896" s="2"/>
      <c r="AB896" s="2"/>
    </row>
    <row r="897" spans="1:28" ht="13">
      <c r="A897" s="2"/>
      <c r="B897" s="2"/>
      <c r="C897" s="2"/>
      <c r="D897" s="2"/>
      <c r="E897" s="2"/>
      <c r="F897" s="2"/>
      <c r="G897" s="43"/>
      <c r="H897" s="2"/>
      <c r="I897" s="2"/>
      <c r="J897" s="2"/>
      <c r="K897" s="2"/>
      <c r="L897" s="2"/>
      <c r="M897" s="2"/>
      <c r="N897" s="2"/>
      <c r="O897" s="2"/>
      <c r="P897" s="2"/>
      <c r="Q897" s="2"/>
      <c r="R897" s="2"/>
      <c r="S897" s="2"/>
      <c r="T897" s="2"/>
      <c r="U897" s="2"/>
      <c r="V897" s="2"/>
      <c r="W897" s="2"/>
      <c r="X897" s="2"/>
      <c r="Y897" s="2"/>
      <c r="Z897" s="2"/>
      <c r="AA897" s="2"/>
      <c r="AB897" s="2"/>
    </row>
    <row r="898" spans="1:28" ht="13">
      <c r="A898" s="2"/>
      <c r="B898" s="2"/>
      <c r="C898" s="2"/>
      <c r="D898" s="2"/>
      <c r="E898" s="2"/>
      <c r="F898" s="2"/>
      <c r="G898" s="43"/>
      <c r="H898" s="2"/>
      <c r="I898" s="2"/>
      <c r="J898" s="2"/>
      <c r="K898" s="2"/>
      <c r="L898" s="2"/>
      <c r="M898" s="2"/>
      <c r="N898" s="2"/>
      <c r="O898" s="2"/>
      <c r="P898" s="2"/>
      <c r="Q898" s="2"/>
      <c r="R898" s="2"/>
      <c r="S898" s="2"/>
      <c r="T898" s="2"/>
      <c r="U898" s="2"/>
      <c r="V898" s="2"/>
      <c r="W898" s="2"/>
      <c r="X898" s="2"/>
      <c r="Y898" s="2"/>
      <c r="Z898" s="2"/>
      <c r="AA898" s="2"/>
      <c r="AB898" s="2"/>
    </row>
    <row r="899" spans="1:28" ht="13">
      <c r="A899" s="2"/>
      <c r="B899" s="2"/>
      <c r="C899" s="2"/>
      <c r="D899" s="2"/>
      <c r="E899" s="2"/>
      <c r="F899" s="2"/>
      <c r="G899" s="43"/>
      <c r="H899" s="2"/>
      <c r="I899" s="2"/>
      <c r="J899" s="2"/>
      <c r="K899" s="2"/>
      <c r="L899" s="2"/>
      <c r="M899" s="2"/>
      <c r="N899" s="2"/>
      <c r="O899" s="2"/>
      <c r="P899" s="2"/>
      <c r="Q899" s="2"/>
      <c r="R899" s="2"/>
      <c r="S899" s="2"/>
      <c r="T899" s="2"/>
      <c r="U899" s="2"/>
      <c r="V899" s="2"/>
      <c r="W899" s="2"/>
      <c r="X899" s="2"/>
      <c r="Y899" s="2"/>
      <c r="Z899" s="2"/>
      <c r="AA899" s="2"/>
      <c r="AB899" s="2"/>
    </row>
    <row r="900" spans="1:28" ht="13">
      <c r="A900" s="2"/>
      <c r="B900" s="2"/>
      <c r="C900" s="2"/>
      <c r="D900" s="2"/>
      <c r="E900" s="2"/>
      <c r="F900" s="2"/>
      <c r="G900" s="43"/>
      <c r="H900" s="2"/>
      <c r="I900" s="2"/>
      <c r="J900" s="2"/>
      <c r="K900" s="2"/>
      <c r="L900" s="2"/>
      <c r="M900" s="2"/>
      <c r="N900" s="2"/>
      <c r="O900" s="2"/>
      <c r="P900" s="2"/>
      <c r="Q900" s="2"/>
      <c r="R900" s="2"/>
      <c r="S900" s="2"/>
      <c r="T900" s="2"/>
      <c r="U900" s="2"/>
      <c r="V900" s="2"/>
      <c r="W900" s="2"/>
      <c r="X900" s="2"/>
      <c r="Y900" s="2"/>
      <c r="Z900" s="2"/>
      <c r="AA900" s="2"/>
      <c r="AB900" s="2"/>
    </row>
    <row r="901" spans="1:28" ht="13">
      <c r="A901" s="2"/>
      <c r="B901" s="2"/>
      <c r="C901" s="2"/>
      <c r="D901" s="2"/>
      <c r="E901" s="2"/>
      <c r="F901" s="2"/>
      <c r="G901" s="43"/>
      <c r="H901" s="2"/>
      <c r="I901" s="2"/>
      <c r="J901" s="2"/>
      <c r="K901" s="2"/>
      <c r="L901" s="2"/>
      <c r="M901" s="2"/>
      <c r="N901" s="2"/>
      <c r="O901" s="2"/>
      <c r="P901" s="2"/>
      <c r="Q901" s="2"/>
      <c r="R901" s="2"/>
      <c r="S901" s="2"/>
      <c r="T901" s="2"/>
      <c r="U901" s="2"/>
      <c r="V901" s="2"/>
      <c r="W901" s="2"/>
      <c r="X901" s="2"/>
      <c r="Y901" s="2"/>
      <c r="Z901" s="2"/>
      <c r="AA901" s="2"/>
      <c r="AB901" s="2"/>
    </row>
    <row r="902" spans="1:28" ht="13">
      <c r="A902" s="2"/>
      <c r="B902" s="2"/>
      <c r="C902" s="2"/>
      <c r="D902" s="2"/>
      <c r="E902" s="2"/>
      <c r="F902" s="2"/>
      <c r="G902" s="43"/>
      <c r="H902" s="2"/>
      <c r="I902" s="2"/>
      <c r="J902" s="2"/>
      <c r="K902" s="2"/>
      <c r="L902" s="2"/>
      <c r="M902" s="2"/>
      <c r="N902" s="2"/>
      <c r="O902" s="2"/>
      <c r="P902" s="2"/>
      <c r="Q902" s="2"/>
      <c r="R902" s="2"/>
      <c r="S902" s="2"/>
      <c r="T902" s="2"/>
      <c r="U902" s="2"/>
      <c r="V902" s="2"/>
      <c r="W902" s="2"/>
      <c r="X902" s="2"/>
      <c r="Y902" s="2"/>
      <c r="Z902" s="2"/>
      <c r="AA902" s="2"/>
      <c r="AB902" s="2"/>
    </row>
    <row r="903" spans="1:28" ht="13">
      <c r="A903" s="2"/>
      <c r="B903" s="2"/>
      <c r="C903" s="2"/>
      <c r="D903" s="2"/>
      <c r="E903" s="2"/>
      <c r="F903" s="2"/>
      <c r="G903" s="43"/>
      <c r="H903" s="2"/>
      <c r="I903" s="2"/>
      <c r="J903" s="2"/>
      <c r="K903" s="2"/>
      <c r="L903" s="2"/>
      <c r="M903" s="2"/>
      <c r="N903" s="2"/>
      <c r="O903" s="2"/>
      <c r="P903" s="2"/>
      <c r="Q903" s="2"/>
      <c r="R903" s="2"/>
      <c r="S903" s="2"/>
      <c r="T903" s="2"/>
      <c r="U903" s="2"/>
      <c r="V903" s="2"/>
      <c r="W903" s="2"/>
      <c r="X903" s="2"/>
      <c r="Y903" s="2"/>
      <c r="Z903" s="2"/>
      <c r="AA903" s="2"/>
      <c r="AB903" s="2"/>
    </row>
    <row r="904" spans="1:28" ht="13">
      <c r="A904" s="2"/>
      <c r="B904" s="2"/>
      <c r="C904" s="2"/>
      <c r="D904" s="2"/>
      <c r="E904" s="2"/>
      <c r="F904" s="2"/>
      <c r="G904" s="43"/>
      <c r="H904" s="2"/>
      <c r="I904" s="2"/>
      <c r="J904" s="2"/>
      <c r="K904" s="2"/>
      <c r="L904" s="2"/>
      <c r="M904" s="2"/>
      <c r="N904" s="2"/>
      <c r="O904" s="2"/>
      <c r="P904" s="2"/>
      <c r="Q904" s="2"/>
      <c r="R904" s="2"/>
      <c r="S904" s="2"/>
      <c r="T904" s="2"/>
      <c r="U904" s="2"/>
      <c r="V904" s="2"/>
      <c r="W904" s="2"/>
      <c r="X904" s="2"/>
      <c r="Y904" s="2"/>
      <c r="Z904" s="2"/>
      <c r="AA904" s="2"/>
      <c r="AB904" s="2"/>
    </row>
    <row r="905" spans="1:28" ht="13">
      <c r="A905" s="2"/>
      <c r="B905" s="2"/>
      <c r="C905" s="2"/>
      <c r="D905" s="2"/>
      <c r="E905" s="2"/>
      <c r="F905" s="2"/>
      <c r="G905" s="43"/>
      <c r="H905" s="2"/>
      <c r="I905" s="2"/>
      <c r="J905" s="2"/>
      <c r="K905" s="2"/>
      <c r="L905" s="2"/>
      <c r="M905" s="2"/>
      <c r="N905" s="2"/>
      <c r="O905" s="2"/>
      <c r="P905" s="2"/>
      <c r="Q905" s="2"/>
      <c r="R905" s="2"/>
      <c r="S905" s="2"/>
      <c r="T905" s="2"/>
      <c r="U905" s="2"/>
      <c r="V905" s="2"/>
      <c r="W905" s="2"/>
      <c r="X905" s="2"/>
      <c r="Y905" s="2"/>
      <c r="Z905" s="2"/>
      <c r="AA905" s="2"/>
      <c r="AB905" s="2"/>
    </row>
    <row r="906" spans="1:28" ht="13">
      <c r="A906" s="2"/>
      <c r="B906" s="2"/>
      <c r="C906" s="2"/>
      <c r="D906" s="2"/>
      <c r="E906" s="2"/>
      <c r="F906" s="2"/>
      <c r="G906" s="43"/>
      <c r="H906" s="2"/>
      <c r="I906" s="2"/>
      <c r="J906" s="2"/>
      <c r="K906" s="2"/>
      <c r="L906" s="2"/>
      <c r="M906" s="2"/>
      <c r="N906" s="2"/>
      <c r="O906" s="2"/>
      <c r="P906" s="2"/>
      <c r="Q906" s="2"/>
      <c r="R906" s="2"/>
      <c r="S906" s="2"/>
      <c r="T906" s="2"/>
      <c r="U906" s="2"/>
      <c r="V906" s="2"/>
      <c r="W906" s="2"/>
      <c r="X906" s="2"/>
      <c r="Y906" s="2"/>
      <c r="Z906" s="2"/>
      <c r="AA906" s="2"/>
      <c r="AB906" s="2"/>
    </row>
    <row r="907" spans="1:28" ht="13">
      <c r="A907" s="2"/>
      <c r="B907" s="2"/>
      <c r="C907" s="2"/>
      <c r="D907" s="2"/>
      <c r="E907" s="2"/>
      <c r="F907" s="2"/>
      <c r="G907" s="43"/>
      <c r="H907" s="2"/>
      <c r="I907" s="2"/>
      <c r="J907" s="2"/>
      <c r="K907" s="2"/>
      <c r="L907" s="2"/>
      <c r="M907" s="2"/>
      <c r="N907" s="2"/>
      <c r="O907" s="2"/>
      <c r="P907" s="2"/>
      <c r="Q907" s="2"/>
      <c r="R907" s="2"/>
      <c r="S907" s="2"/>
      <c r="T907" s="2"/>
      <c r="U907" s="2"/>
      <c r="V907" s="2"/>
      <c r="W907" s="2"/>
      <c r="X907" s="2"/>
      <c r="Y907" s="2"/>
      <c r="Z907" s="2"/>
      <c r="AA907" s="2"/>
      <c r="AB907" s="2"/>
    </row>
    <row r="908" spans="1:28" ht="13">
      <c r="A908" s="2"/>
      <c r="B908" s="2"/>
      <c r="C908" s="2"/>
      <c r="D908" s="2"/>
      <c r="E908" s="2"/>
      <c r="F908" s="2"/>
      <c r="G908" s="43"/>
      <c r="H908" s="2"/>
      <c r="I908" s="2"/>
      <c r="J908" s="2"/>
      <c r="K908" s="2"/>
      <c r="L908" s="2"/>
      <c r="M908" s="2"/>
      <c r="N908" s="2"/>
      <c r="O908" s="2"/>
      <c r="P908" s="2"/>
      <c r="Q908" s="2"/>
      <c r="R908" s="2"/>
      <c r="S908" s="2"/>
      <c r="T908" s="2"/>
      <c r="U908" s="2"/>
      <c r="V908" s="2"/>
      <c r="W908" s="2"/>
      <c r="X908" s="2"/>
      <c r="Y908" s="2"/>
      <c r="Z908" s="2"/>
      <c r="AA908" s="2"/>
      <c r="AB908" s="2"/>
    </row>
    <row r="909" spans="1:28" ht="13">
      <c r="A909" s="2"/>
      <c r="B909" s="2"/>
      <c r="C909" s="2"/>
      <c r="D909" s="2"/>
      <c r="E909" s="2"/>
      <c r="F909" s="2"/>
      <c r="G909" s="43"/>
      <c r="H909" s="2"/>
      <c r="I909" s="2"/>
      <c r="J909" s="2"/>
      <c r="K909" s="2"/>
      <c r="L909" s="2"/>
      <c r="M909" s="2"/>
      <c r="N909" s="2"/>
      <c r="O909" s="2"/>
      <c r="P909" s="2"/>
      <c r="Q909" s="2"/>
      <c r="R909" s="2"/>
      <c r="S909" s="2"/>
      <c r="T909" s="2"/>
      <c r="U909" s="2"/>
      <c r="V909" s="2"/>
      <c r="W909" s="2"/>
      <c r="X909" s="2"/>
      <c r="Y909" s="2"/>
      <c r="Z909" s="2"/>
      <c r="AA909" s="2"/>
      <c r="AB909" s="2"/>
    </row>
    <row r="910" spans="1:28" ht="13">
      <c r="A910" s="2"/>
      <c r="B910" s="2"/>
      <c r="C910" s="2"/>
      <c r="D910" s="2"/>
      <c r="E910" s="2"/>
      <c r="F910" s="2"/>
      <c r="G910" s="43"/>
      <c r="H910" s="2"/>
      <c r="I910" s="2"/>
      <c r="J910" s="2"/>
      <c r="K910" s="2"/>
      <c r="L910" s="2"/>
      <c r="M910" s="2"/>
      <c r="N910" s="2"/>
      <c r="O910" s="2"/>
      <c r="P910" s="2"/>
      <c r="Q910" s="2"/>
      <c r="R910" s="2"/>
      <c r="S910" s="2"/>
      <c r="T910" s="2"/>
      <c r="U910" s="2"/>
      <c r="V910" s="2"/>
      <c r="W910" s="2"/>
      <c r="X910" s="2"/>
      <c r="Y910" s="2"/>
      <c r="Z910" s="2"/>
      <c r="AA910" s="2"/>
      <c r="AB910" s="2"/>
    </row>
    <row r="911" spans="1:28" ht="13">
      <c r="A911" s="2"/>
      <c r="B911" s="2"/>
      <c r="C911" s="2"/>
      <c r="D911" s="2"/>
      <c r="E911" s="2"/>
      <c r="F911" s="2"/>
      <c r="G911" s="43"/>
      <c r="H911" s="2"/>
      <c r="I911" s="2"/>
      <c r="J911" s="2"/>
      <c r="K911" s="2"/>
      <c r="L911" s="2"/>
      <c r="M911" s="2"/>
      <c r="N911" s="2"/>
      <c r="O911" s="2"/>
      <c r="P911" s="2"/>
      <c r="Q911" s="2"/>
      <c r="R911" s="2"/>
      <c r="S911" s="2"/>
      <c r="T911" s="2"/>
      <c r="U911" s="2"/>
      <c r="V911" s="2"/>
      <c r="W911" s="2"/>
      <c r="X911" s="2"/>
      <c r="Y911" s="2"/>
      <c r="Z911" s="2"/>
      <c r="AA911" s="2"/>
      <c r="AB911" s="2"/>
    </row>
    <row r="912" spans="1:28" ht="13">
      <c r="A912" s="2"/>
      <c r="B912" s="2"/>
      <c r="C912" s="2"/>
      <c r="D912" s="2"/>
      <c r="E912" s="2"/>
      <c r="F912" s="2"/>
      <c r="G912" s="43"/>
      <c r="H912" s="2"/>
      <c r="I912" s="2"/>
      <c r="J912" s="2"/>
      <c r="K912" s="2"/>
      <c r="L912" s="2"/>
      <c r="M912" s="2"/>
      <c r="N912" s="2"/>
      <c r="O912" s="2"/>
      <c r="P912" s="2"/>
      <c r="Q912" s="2"/>
      <c r="R912" s="2"/>
      <c r="S912" s="2"/>
      <c r="T912" s="2"/>
      <c r="U912" s="2"/>
      <c r="V912" s="2"/>
      <c r="W912" s="2"/>
      <c r="X912" s="2"/>
      <c r="Y912" s="2"/>
      <c r="Z912" s="2"/>
      <c r="AA912" s="2"/>
      <c r="AB912" s="2"/>
    </row>
    <row r="913" spans="1:28" ht="13">
      <c r="A913" s="2"/>
      <c r="B913" s="2"/>
      <c r="C913" s="2"/>
      <c r="D913" s="2"/>
      <c r="E913" s="2"/>
      <c r="F913" s="2"/>
      <c r="G913" s="43"/>
      <c r="H913" s="2"/>
      <c r="I913" s="2"/>
      <c r="J913" s="2"/>
      <c r="K913" s="2"/>
      <c r="L913" s="2"/>
      <c r="M913" s="2"/>
      <c r="N913" s="2"/>
      <c r="O913" s="2"/>
      <c r="P913" s="2"/>
      <c r="Q913" s="2"/>
      <c r="R913" s="2"/>
      <c r="S913" s="2"/>
      <c r="T913" s="2"/>
      <c r="U913" s="2"/>
      <c r="V913" s="2"/>
      <c r="W913" s="2"/>
      <c r="X913" s="2"/>
      <c r="Y913" s="2"/>
      <c r="Z913" s="2"/>
      <c r="AA913" s="2"/>
      <c r="AB913" s="2"/>
    </row>
    <row r="914" spans="1:28" ht="13">
      <c r="A914" s="2"/>
      <c r="B914" s="2"/>
      <c r="C914" s="2"/>
      <c r="D914" s="2"/>
      <c r="E914" s="2"/>
      <c r="F914" s="2"/>
      <c r="G914" s="43"/>
      <c r="H914" s="2"/>
      <c r="I914" s="2"/>
      <c r="J914" s="2"/>
      <c r="K914" s="2"/>
      <c r="L914" s="2"/>
      <c r="M914" s="2"/>
      <c r="N914" s="2"/>
      <c r="O914" s="2"/>
      <c r="P914" s="2"/>
      <c r="Q914" s="2"/>
      <c r="R914" s="2"/>
      <c r="S914" s="2"/>
      <c r="T914" s="2"/>
      <c r="U914" s="2"/>
      <c r="V914" s="2"/>
      <c r="W914" s="2"/>
      <c r="X914" s="2"/>
      <c r="Y914" s="2"/>
      <c r="Z914" s="2"/>
      <c r="AA914" s="2"/>
      <c r="AB914" s="2"/>
    </row>
    <row r="915" spans="1:28" ht="13">
      <c r="A915" s="2"/>
      <c r="B915" s="2"/>
      <c r="C915" s="2"/>
      <c r="D915" s="2"/>
      <c r="E915" s="2"/>
      <c r="F915" s="2"/>
      <c r="G915" s="43"/>
      <c r="H915" s="2"/>
      <c r="I915" s="2"/>
      <c r="J915" s="2"/>
      <c r="K915" s="2"/>
      <c r="L915" s="2"/>
      <c r="M915" s="2"/>
      <c r="N915" s="2"/>
      <c r="O915" s="2"/>
      <c r="P915" s="2"/>
      <c r="Q915" s="2"/>
      <c r="R915" s="2"/>
      <c r="S915" s="2"/>
      <c r="T915" s="2"/>
      <c r="U915" s="2"/>
      <c r="V915" s="2"/>
      <c r="W915" s="2"/>
      <c r="X915" s="2"/>
      <c r="Y915" s="2"/>
      <c r="Z915" s="2"/>
      <c r="AA915" s="2"/>
      <c r="AB915" s="2"/>
    </row>
    <row r="916" spans="1:28" ht="13">
      <c r="A916" s="2"/>
      <c r="B916" s="2"/>
      <c r="C916" s="2"/>
      <c r="D916" s="2"/>
      <c r="E916" s="2"/>
      <c r="F916" s="2"/>
      <c r="G916" s="43"/>
      <c r="H916" s="2"/>
      <c r="I916" s="2"/>
      <c r="J916" s="2"/>
      <c r="K916" s="2"/>
      <c r="L916" s="2"/>
      <c r="M916" s="2"/>
      <c r="N916" s="2"/>
      <c r="O916" s="2"/>
      <c r="P916" s="2"/>
      <c r="Q916" s="2"/>
      <c r="R916" s="2"/>
      <c r="S916" s="2"/>
      <c r="T916" s="2"/>
      <c r="U916" s="2"/>
      <c r="V916" s="2"/>
      <c r="W916" s="2"/>
      <c r="X916" s="2"/>
      <c r="Y916" s="2"/>
      <c r="Z916" s="2"/>
      <c r="AA916" s="2"/>
      <c r="AB916" s="2"/>
    </row>
    <row r="917" spans="1:28" ht="13">
      <c r="A917" s="2"/>
      <c r="B917" s="2"/>
      <c r="C917" s="2"/>
      <c r="D917" s="2"/>
      <c r="E917" s="2"/>
      <c r="F917" s="2"/>
      <c r="G917" s="43"/>
      <c r="H917" s="2"/>
      <c r="I917" s="2"/>
      <c r="J917" s="2"/>
      <c r="K917" s="2"/>
      <c r="L917" s="2"/>
      <c r="M917" s="2"/>
      <c r="N917" s="2"/>
      <c r="O917" s="2"/>
      <c r="P917" s="2"/>
      <c r="Q917" s="2"/>
      <c r="R917" s="2"/>
      <c r="S917" s="2"/>
      <c r="T917" s="2"/>
      <c r="U917" s="2"/>
      <c r="V917" s="2"/>
      <c r="W917" s="2"/>
      <c r="X917" s="2"/>
      <c r="Y917" s="2"/>
      <c r="Z917" s="2"/>
      <c r="AA917" s="2"/>
      <c r="AB917" s="2"/>
    </row>
    <row r="918" spans="1:28" ht="13">
      <c r="A918" s="2"/>
      <c r="B918" s="2"/>
      <c r="C918" s="2"/>
      <c r="D918" s="2"/>
      <c r="E918" s="2"/>
      <c r="F918" s="2"/>
      <c r="G918" s="43"/>
      <c r="H918" s="2"/>
      <c r="I918" s="2"/>
      <c r="J918" s="2"/>
      <c r="K918" s="2"/>
      <c r="L918" s="2"/>
      <c r="M918" s="2"/>
      <c r="N918" s="2"/>
      <c r="O918" s="2"/>
      <c r="P918" s="2"/>
      <c r="Q918" s="2"/>
      <c r="R918" s="2"/>
      <c r="S918" s="2"/>
      <c r="T918" s="2"/>
      <c r="U918" s="2"/>
      <c r="V918" s="2"/>
      <c r="W918" s="2"/>
      <c r="X918" s="2"/>
      <c r="Y918" s="2"/>
      <c r="Z918" s="2"/>
      <c r="AA918" s="2"/>
      <c r="AB918" s="2"/>
    </row>
    <row r="919" spans="1:28" ht="13">
      <c r="A919" s="2"/>
      <c r="B919" s="2"/>
      <c r="C919" s="2"/>
      <c r="D919" s="2"/>
      <c r="E919" s="2"/>
      <c r="F919" s="2"/>
      <c r="G919" s="43"/>
      <c r="H919" s="2"/>
      <c r="I919" s="2"/>
      <c r="J919" s="2"/>
      <c r="K919" s="2"/>
      <c r="L919" s="2"/>
      <c r="M919" s="2"/>
      <c r="N919" s="2"/>
      <c r="O919" s="2"/>
      <c r="P919" s="2"/>
      <c r="Q919" s="2"/>
      <c r="R919" s="2"/>
      <c r="S919" s="2"/>
      <c r="T919" s="2"/>
      <c r="U919" s="2"/>
      <c r="V919" s="2"/>
      <c r="W919" s="2"/>
      <c r="X919" s="2"/>
      <c r="Y919" s="2"/>
      <c r="Z919" s="2"/>
      <c r="AA919" s="2"/>
      <c r="AB919" s="2"/>
    </row>
    <row r="920" spans="1:28" ht="13">
      <c r="A920" s="2"/>
      <c r="B920" s="2"/>
      <c r="C920" s="2"/>
      <c r="D920" s="2"/>
      <c r="E920" s="2"/>
      <c r="F920" s="2"/>
      <c r="G920" s="43"/>
      <c r="H920" s="2"/>
      <c r="I920" s="2"/>
      <c r="J920" s="2"/>
      <c r="K920" s="2"/>
      <c r="L920" s="2"/>
      <c r="M920" s="2"/>
      <c r="N920" s="2"/>
      <c r="O920" s="2"/>
      <c r="P920" s="2"/>
      <c r="Q920" s="2"/>
      <c r="R920" s="2"/>
      <c r="S920" s="2"/>
      <c r="T920" s="2"/>
      <c r="U920" s="2"/>
      <c r="V920" s="2"/>
      <c r="W920" s="2"/>
      <c r="X920" s="2"/>
      <c r="Y920" s="2"/>
      <c r="Z920" s="2"/>
      <c r="AA920" s="2"/>
      <c r="AB920" s="2"/>
    </row>
    <row r="921" spans="1:28" ht="13">
      <c r="A921" s="2"/>
      <c r="B921" s="2"/>
      <c r="C921" s="2"/>
      <c r="D921" s="2"/>
      <c r="E921" s="2"/>
      <c r="F921" s="2"/>
      <c r="G921" s="43"/>
      <c r="H921" s="2"/>
      <c r="I921" s="2"/>
      <c r="J921" s="2"/>
      <c r="K921" s="2"/>
      <c r="L921" s="2"/>
      <c r="M921" s="2"/>
      <c r="N921" s="2"/>
      <c r="O921" s="2"/>
      <c r="P921" s="2"/>
      <c r="Q921" s="2"/>
      <c r="R921" s="2"/>
      <c r="S921" s="2"/>
      <c r="T921" s="2"/>
      <c r="U921" s="2"/>
      <c r="V921" s="2"/>
      <c r="W921" s="2"/>
      <c r="X921" s="2"/>
      <c r="Y921" s="2"/>
      <c r="Z921" s="2"/>
      <c r="AA921" s="2"/>
      <c r="AB921" s="2"/>
    </row>
    <row r="922" spans="1:28" ht="13">
      <c r="A922" s="2"/>
      <c r="B922" s="2"/>
      <c r="C922" s="2"/>
      <c r="D922" s="2"/>
      <c r="E922" s="2"/>
      <c r="F922" s="2"/>
      <c r="G922" s="43"/>
      <c r="H922" s="2"/>
      <c r="I922" s="2"/>
      <c r="J922" s="2"/>
      <c r="K922" s="2"/>
      <c r="L922" s="2"/>
      <c r="M922" s="2"/>
      <c r="N922" s="2"/>
      <c r="O922" s="2"/>
      <c r="P922" s="2"/>
      <c r="Q922" s="2"/>
      <c r="R922" s="2"/>
      <c r="S922" s="2"/>
      <c r="T922" s="2"/>
      <c r="U922" s="2"/>
      <c r="V922" s="2"/>
      <c r="W922" s="2"/>
      <c r="X922" s="2"/>
      <c r="Y922" s="2"/>
      <c r="Z922" s="2"/>
      <c r="AA922" s="2"/>
      <c r="AB922" s="2"/>
    </row>
    <row r="923" spans="1:28" ht="13">
      <c r="A923" s="2"/>
      <c r="B923" s="2"/>
      <c r="C923" s="2"/>
      <c r="D923" s="2"/>
      <c r="E923" s="2"/>
      <c r="F923" s="2"/>
      <c r="G923" s="43"/>
      <c r="H923" s="2"/>
      <c r="I923" s="2"/>
      <c r="J923" s="2"/>
      <c r="K923" s="2"/>
      <c r="L923" s="2"/>
      <c r="M923" s="2"/>
      <c r="N923" s="2"/>
      <c r="O923" s="2"/>
      <c r="P923" s="2"/>
      <c r="Q923" s="2"/>
      <c r="R923" s="2"/>
      <c r="S923" s="2"/>
      <c r="T923" s="2"/>
      <c r="U923" s="2"/>
      <c r="V923" s="2"/>
      <c r="W923" s="2"/>
      <c r="X923" s="2"/>
      <c r="Y923" s="2"/>
      <c r="Z923" s="2"/>
      <c r="AA923" s="2"/>
      <c r="AB923" s="2"/>
    </row>
    <row r="924" spans="1:28" ht="13">
      <c r="A924" s="2"/>
      <c r="B924" s="2"/>
      <c r="C924" s="2"/>
      <c r="D924" s="2"/>
      <c r="E924" s="2"/>
      <c r="F924" s="2"/>
      <c r="G924" s="43"/>
      <c r="H924" s="2"/>
      <c r="I924" s="2"/>
      <c r="J924" s="2"/>
      <c r="K924" s="2"/>
      <c r="L924" s="2"/>
      <c r="M924" s="2"/>
      <c r="N924" s="2"/>
      <c r="O924" s="2"/>
      <c r="P924" s="2"/>
      <c r="Q924" s="2"/>
      <c r="R924" s="2"/>
      <c r="S924" s="2"/>
      <c r="T924" s="2"/>
      <c r="U924" s="2"/>
      <c r="V924" s="2"/>
      <c r="W924" s="2"/>
      <c r="X924" s="2"/>
      <c r="Y924" s="2"/>
      <c r="Z924" s="2"/>
      <c r="AA924" s="2"/>
      <c r="AB924" s="2"/>
    </row>
    <row r="925" spans="1:28" ht="13">
      <c r="A925" s="2"/>
      <c r="B925" s="2"/>
      <c r="C925" s="2"/>
      <c r="D925" s="2"/>
      <c r="E925" s="2"/>
      <c r="F925" s="2"/>
      <c r="G925" s="43"/>
      <c r="H925" s="2"/>
      <c r="I925" s="2"/>
      <c r="J925" s="2"/>
      <c r="K925" s="2"/>
      <c r="L925" s="2"/>
      <c r="M925" s="2"/>
      <c r="N925" s="2"/>
      <c r="O925" s="2"/>
      <c r="P925" s="2"/>
      <c r="Q925" s="2"/>
      <c r="R925" s="2"/>
      <c r="S925" s="2"/>
      <c r="T925" s="2"/>
      <c r="U925" s="2"/>
      <c r="V925" s="2"/>
      <c r="W925" s="2"/>
      <c r="X925" s="2"/>
      <c r="Y925" s="2"/>
      <c r="Z925" s="2"/>
      <c r="AA925" s="2"/>
      <c r="AB925" s="2"/>
    </row>
    <row r="926" spans="1:28" ht="13">
      <c r="A926" s="2"/>
      <c r="B926" s="2"/>
      <c r="C926" s="2"/>
      <c r="D926" s="2"/>
      <c r="E926" s="2"/>
      <c r="F926" s="2"/>
      <c r="G926" s="43"/>
      <c r="H926" s="2"/>
      <c r="I926" s="2"/>
      <c r="J926" s="2"/>
      <c r="K926" s="2"/>
      <c r="L926" s="2"/>
      <c r="M926" s="2"/>
      <c r="N926" s="2"/>
      <c r="O926" s="2"/>
      <c r="P926" s="2"/>
      <c r="Q926" s="2"/>
      <c r="R926" s="2"/>
      <c r="S926" s="2"/>
      <c r="T926" s="2"/>
      <c r="U926" s="2"/>
      <c r="V926" s="2"/>
      <c r="W926" s="2"/>
      <c r="X926" s="2"/>
      <c r="Y926" s="2"/>
      <c r="Z926" s="2"/>
      <c r="AA926" s="2"/>
      <c r="AB926" s="2"/>
    </row>
    <row r="927" spans="1:28" ht="13">
      <c r="A927" s="2"/>
      <c r="B927" s="2"/>
      <c r="C927" s="2"/>
      <c r="D927" s="2"/>
      <c r="E927" s="2"/>
      <c r="F927" s="2"/>
      <c r="G927" s="43"/>
      <c r="H927" s="2"/>
      <c r="I927" s="2"/>
      <c r="J927" s="2"/>
      <c r="K927" s="2"/>
      <c r="L927" s="2"/>
      <c r="M927" s="2"/>
      <c r="N927" s="2"/>
      <c r="O927" s="2"/>
      <c r="P927" s="2"/>
      <c r="Q927" s="2"/>
      <c r="R927" s="2"/>
      <c r="S927" s="2"/>
      <c r="T927" s="2"/>
      <c r="U927" s="2"/>
      <c r="V927" s="2"/>
      <c r="W927" s="2"/>
      <c r="X927" s="2"/>
      <c r="Y927" s="2"/>
      <c r="Z927" s="2"/>
      <c r="AA927" s="2"/>
      <c r="AB927" s="2"/>
    </row>
    <row r="928" spans="1:28" ht="13">
      <c r="A928" s="2"/>
      <c r="B928" s="2"/>
      <c r="C928" s="2"/>
      <c r="D928" s="2"/>
      <c r="E928" s="2"/>
      <c r="F928" s="2"/>
      <c r="G928" s="43"/>
      <c r="H928" s="2"/>
      <c r="I928" s="2"/>
      <c r="J928" s="2"/>
      <c r="K928" s="2"/>
      <c r="L928" s="2"/>
      <c r="M928" s="2"/>
      <c r="N928" s="2"/>
      <c r="O928" s="2"/>
      <c r="P928" s="2"/>
      <c r="Q928" s="2"/>
      <c r="R928" s="2"/>
      <c r="S928" s="2"/>
      <c r="T928" s="2"/>
      <c r="U928" s="2"/>
      <c r="V928" s="2"/>
      <c r="W928" s="2"/>
      <c r="X928" s="2"/>
      <c r="Y928" s="2"/>
      <c r="Z928" s="2"/>
      <c r="AA928" s="2"/>
      <c r="AB928" s="2"/>
    </row>
    <row r="929" spans="1:28" ht="13">
      <c r="A929" s="2"/>
      <c r="B929" s="2"/>
      <c r="C929" s="2"/>
      <c r="D929" s="2"/>
      <c r="E929" s="2"/>
      <c r="F929" s="2"/>
      <c r="G929" s="43"/>
      <c r="H929" s="2"/>
      <c r="I929" s="2"/>
      <c r="J929" s="2"/>
      <c r="K929" s="2"/>
      <c r="L929" s="2"/>
      <c r="M929" s="2"/>
      <c r="N929" s="2"/>
      <c r="O929" s="2"/>
      <c r="P929" s="2"/>
      <c r="Q929" s="2"/>
      <c r="R929" s="2"/>
      <c r="S929" s="2"/>
      <c r="T929" s="2"/>
      <c r="U929" s="2"/>
      <c r="V929" s="2"/>
      <c r="W929" s="2"/>
      <c r="X929" s="2"/>
      <c r="Y929" s="2"/>
      <c r="Z929" s="2"/>
      <c r="AA929" s="2"/>
      <c r="AB929" s="2"/>
    </row>
    <row r="930" spans="1:28" ht="13">
      <c r="A930" s="2"/>
      <c r="B930" s="2"/>
      <c r="C930" s="2"/>
      <c r="D930" s="2"/>
      <c r="E930" s="2"/>
      <c r="F930" s="2"/>
      <c r="G930" s="43"/>
      <c r="H930" s="2"/>
      <c r="I930" s="2"/>
      <c r="J930" s="2"/>
      <c r="K930" s="2"/>
      <c r="L930" s="2"/>
      <c r="M930" s="2"/>
      <c r="N930" s="2"/>
      <c r="O930" s="2"/>
      <c r="P930" s="2"/>
      <c r="Q930" s="2"/>
      <c r="R930" s="2"/>
      <c r="S930" s="2"/>
      <c r="T930" s="2"/>
      <c r="U930" s="2"/>
      <c r="V930" s="2"/>
      <c r="W930" s="2"/>
      <c r="X930" s="2"/>
      <c r="Y930" s="2"/>
      <c r="Z930" s="2"/>
      <c r="AA930" s="2"/>
      <c r="AB930" s="2"/>
    </row>
    <row r="931" spans="1:28" ht="13">
      <c r="A931" s="2"/>
      <c r="B931" s="2"/>
      <c r="C931" s="2"/>
      <c r="D931" s="2"/>
      <c r="E931" s="2"/>
      <c r="F931" s="2"/>
      <c r="G931" s="43"/>
      <c r="H931" s="2"/>
      <c r="I931" s="2"/>
      <c r="J931" s="2"/>
      <c r="K931" s="2"/>
      <c r="L931" s="2"/>
      <c r="M931" s="2"/>
      <c r="N931" s="2"/>
      <c r="O931" s="2"/>
      <c r="P931" s="2"/>
      <c r="Q931" s="2"/>
      <c r="R931" s="2"/>
      <c r="S931" s="2"/>
      <c r="T931" s="2"/>
      <c r="U931" s="2"/>
      <c r="V931" s="2"/>
      <c r="W931" s="2"/>
      <c r="X931" s="2"/>
      <c r="Y931" s="2"/>
      <c r="Z931" s="2"/>
      <c r="AA931" s="2"/>
      <c r="AB931" s="2"/>
    </row>
    <row r="932" spans="1:28" ht="13">
      <c r="A932" s="2"/>
      <c r="B932" s="2"/>
      <c r="C932" s="2"/>
      <c r="D932" s="2"/>
      <c r="E932" s="2"/>
      <c r="F932" s="2"/>
      <c r="G932" s="43"/>
      <c r="H932" s="2"/>
      <c r="I932" s="2"/>
      <c r="J932" s="2"/>
      <c r="K932" s="2"/>
      <c r="L932" s="2"/>
      <c r="M932" s="2"/>
      <c r="N932" s="2"/>
      <c r="O932" s="2"/>
      <c r="P932" s="2"/>
      <c r="Q932" s="2"/>
      <c r="R932" s="2"/>
      <c r="S932" s="2"/>
      <c r="T932" s="2"/>
      <c r="U932" s="2"/>
      <c r="V932" s="2"/>
      <c r="W932" s="2"/>
      <c r="X932" s="2"/>
      <c r="Y932" s="2"/>
      <c r="Z932" s="2"/>
      <c r="AA932" s="2"/>
      <c r="AB932" s="2"/>
    </row>
    <row r="933" spans="1:28" ht="13">
      <c r="A933" s="2"/>
      <c r="B933" s="2"/>
      <c r="C933" s="2"/>
      <c r="D933" s="2"/>
      <c r="E933" s="2"/>
      <c r="F933" s="2"/>
      <c r="G933" s="43"/>
      <c r="H933" s="2"/>
      <c r="I933" s="2"/>
      <c r="J933" s="2"/>
      <c r="K933" s="2"/>
      <c r="L933" s="2"/>
      <c r="M933" s="2"/>
      <c r="N933" s="2"/>
      <c r="O933" s="2"/>
      <c r="P933" s="2"/>
      <c r="Q933" s="2"/>
      <c r="R933" s="2"/>
      <c r="S933" s="2"/>
      <c r="T933" s="2"/>
      <c r="U933" s="2"/>
      <c r="V933" s="2"/>
      <c r="W933" s="2"/>
      <c r="X933" s="2"/>
      <c r="Y933" s="2"/>
      <c r="Z933" s="2"/>
      <c r="AA933" s="2"/>
      <c r="AB933" s="2"/>
    </row>
    <row r="934" spans="1:28" ht="13">
      <c r="A934" s="2"/>
      <c r="B934" s="2"/>
      <c r="C934" s="2"/>
      <c r="D934" s="2"/>
      <c r="E934" s="2"/>
      <c r="F934" s="2"/>
      <c r="G934" s="43"/>
      <c r="H934" s="2"/>
      <c r="I934" s="2"/>
      <c r="J934" s="2"/>
      <c r="K934" s="2"/>
      <c r="L934" s="2"/>
      <c r="M934" s="2"/>
      <c r="N934" s="2"/>
      <c r="O934" s="2"/>
      <c r="P934" s="2"/>
      <c r="Q934" s="2"/>
      <c r="R934" s="2"/>
      <c r="S934" s="2"/>
      <c r="T934" s="2"/>
      <c r="U934" s="2"/>
      <c r="V934" s="2"/>
      <c r="W934" s="2"/>
      <c r="X934" s="2"/>
      <c r="Y934" s="2"/>
      <c r="Z934" s="2"/>
      <c r="AA934" s="2"/>
      <c r="AB934" s="2"/>
    </row>
    <row r="935" spans="1:28" ht="13">
      <c r="A935" s="2"/>
      <c r="B935" s="2"/>
      <c r="C935" s="2"/>
      <c r="D935" s="2"/>
      <c r="E935" s="2"/>
      <c r="F935" s="2"/>
      <c r="G935" s="43"/>
      <c r="H935" s="2"/>
      <c r="I935" s="2"/>
      <c r="J935" s="2"/>
      <c r="K935" s="2"/>
      <c r="L935" s="2"/>
      <c r="M935" s="2"/>
      <c r="N935" s="2"/>
      <c r="O935" s="2"/>
      <c r="P935" s="2"/>
      <c r="Q935" s="2"/>
      <c r="R935" s="2"/>
      <c r="S935" s="2"/>
      <c r="T935" s="2"/>
      <c r="U935" s="2"/>
      <c r="V935" s="2"/>
      <c r="W935" s="2"/>
      <c r="X935" s="2"/>
      <c r="Y935" s="2"/>
      <c r="Z935" s="2"/>
      <c r="AA935" s="2"/>
      <c r="AB935" s="2"/>
    </row>
    <row r="936" spans="1:28" ht="13">
      <c r="A936" s="2"/>
      <c r="B936" s="2"/>
      <c r="C936" s="2"/>
      <c r="D936" s="2"/>
      <c r="E936" s="2"/>
      <c r="F936" s="2"/>
      <c r="G936" s="43"/>
      <c r="H936" s="2"/>
      <c r="I936" s="2"/>
      <c r="J936" s="2"/>
      <c r="K936" s="2"/>
      <c r="L936" s="2"/>
      <c r="M936" s="2"/>
      <c r="N936" s="2"/>
      <c r="O936" s="2"/>
      <c r="P936" s="2"/>
      <c r="Q936" s="2"/>
      <c r="R936" s="2"/>
      <c r="S936" s="2"/>
      <c r="T936" s="2"/>
      <c r="U936" s="2"/>
      <c r="V936" s="2"/>
      <c r="W936" s="2"/>
      <c r="X936" s="2"/>
      <c r="Y936" s="2"/>
      <c r="Z936" s="2"/>
      <c r="AA936" s="2"/>
      <c r="AB936" s="2"/>
    </row>
    <row r="937" spans="1:28" ht="13">
      <c r="A937" s="2"/>
      <c r="B937" s="2"/>
      <c r="C937" s="2"/>
      <c r="D937" s="2"/>
      <c r="E937" s="2"/>
      <c r="F937" s="2"/>
      <c r="G937" s="43"/>
      <c r="H937" s="2"/>
      <c r="I937" s="2"/>
      <c r="J937" s="2"/>
      <c r="K937" s="2"/>
      <c r="L937" s="2"/>
      <c r="M937" s="2"/>
      <c r="N937" s="2"/>
      <c r="O937" s="2"/>
      <c r="P937" s="2"/>
      <c r="Q937" s="2"/>
      <c r="R937" s="2"/>
      <c r="S937" s="2"/>
      <c r="T937" s="2"/>
      <c r="U937" s="2"/>
      <c r="V937" s="2"/>
      <c r="W937" s="2"/>
      <c r="X937" s="2"/>
      <c r="Y937" s="2"/>
      <c r="Z937" s="2"/>
      <c r="AA937" s="2"/>
      <c r="AB937" s="2"/>
    </row>
    <row r="938" spans="1:28" ht="13">
      <c r="A938" s="2"/>
      <c r="B938" s="2"/>
      <c r="C938" s="2"/>
      <c r="D938" s="2"/>
      <c r="E938" s="2"/>
      <c r="F938" s="2"/>
      <c r="G938" s="43"/>
      <c r="H938" s="2"/>
      <c r="I938" s="2"/>
      <c r="J938" s="2"/>
      <c r="K938" s="2"/>
      <c r="L938" s="2"/>
      <c r="M938" s="2"/>
      <c r="N938" s="2"/>
      <c r="O938" s="2"/>
      <c r="P938" s="2"/>
      <c r="Q938" s="2"/>
      <c r="R938" s="2"/>
      <c r="S938" s="2"/>
      <c r="T938" s="2"/>
      <c r="U938" s="2"/>
      <c r="V938" s="2"/>
      <c r="W938" s="2"/>
      <c r="X938" s="2"/>
      <c r="Y938" s="2"/>
      <c r="Z938" s="2"/>
      <c r="AA938" s="2"/>
      <c r="AB938" s="2"/>
    </row>
    <row r="939" spans="1:28" ht="13">
      <c r="A939" s="2"/>
      <c r="B939" s="2"/>
      <c r="C939" s="2"/>
      <c r="D939" s="2"/>
      <c r="E939" s="2"/>
      <c r="F939" s="2"/>
      <c r="G939" s="43"/>
      <c r="H939" s="2"/>
      <c r="I939" s="2"/>
      <c r="J939" s="2"/>
      <c r="K939" s="2"/>
      <c r="L939" s="2"/>
      <c r="M939" s="2"/>
      <c r="N939" s="2"/>
      <c r="O939" s="2"/>
      <c r="P939" s="2"/>
      <c r="Q939" s="2"/>
      <c r="R939" s="2"/>
      <c r="S939" s="2"/>
      <c r="T939" s="2"/>
      <c r="U939" s="2"/>
      <c r="V939" s="2"/>
      <c r="W939" s="2"/>
      <c r="X939" s="2"/>
      <c r="Y939" s="2"/>
      <c r="Z939" s="2"/>
      <c r="AA939" s="2"/>
      <c r="AB939" s="2"/>
    </row>
    <row r="940" spans="1:28" ht="13">
      <c r="A940" s="2"/>
      <c r="B940" s="2"/>
      <c r="C940" s="2"/>
      <c r="D940" s="2"/>
      <c r="E940" s="2"/>
      <c r="F940" s="2"/>
      <c r="G940" s="43"/>
      <c r="H940" s="2"/>
      <c r="I940" s="2"/>
      <c r="J940" s="2"/>
      <c r="K940" s="2"/>
      <c r="L940" s="2"/>
      <c r="M940" s="2"/>
      <c r="N940" s="2"/>
      <c r="O940" s="2"/>
      <c r="P940" s="2"/>
      <c r="Q940" s="2"/>
      <c r="R940" s="2"/>
      <c r="S940" s="2"/>
      <c r="T940" s="2"/>
      <c r="U940" s="2"/>
      <c r="V940" s="2"/>
      <c r="W940" s="2"/>
      <c r="X940" s="2"/>
      <c r="Y940" s="2"/>
      <c r="Z940" s="2"/>
      <c r="AA940" s="2"/>
      <c r="AB940" s="2"/>
    </row>
    <row r="941" spans="1:28" ht="13">
      <c r="A941" s="2"/>
      <c r="B941" s="2"/>
      <c r="C941" s="2"/>
      <c r="D941" s="2"/>
      <c r="E941" s="2"/>
      <c r="F941" s="2"/>
      <c r="G941" s="43"/>
      <c r="H941" s="2"/>
      <c r="I941" s="2"/>
      <c r="J941" s="2"/>
      <c r="K941" s="2"/>
      <c r="L941" s="2"/>
      <c r="M941" s="2"/>
      <c r="N941" s="2"/>
      <c r="O941" s="2"/>
      <c r="P941" s="2"/>
      <c r="Q941" s="2"/>
      <c r="R941" s="2"/>
      <c r="S941" s="2"/>
      <c r="T941" s="2"/>
      <c r="U941" s="2"/>
      <c r="V941" s="2"/>
      <c r="W941" s="2"/>
      <c r="X941" s="2"/>
      <c r="Y941" s="2"/>
      <c r="Z941" s="2"/>
      <c r="AA941" s="2"/>
      <c r="AB941" s="2"/>
    </row>
    <row r="942" spans="1:28" ht="13">
      <c r="A942" s="2"/>
      <c r="B942" s="2"/>
      <c r="C942" s="2"/>
      <c r="D942" s="2"/>
      <c r="E942" s="2"/>
      <c r="F942" s="2"/>
      <c r="G942" s="43"/>
      <c r="H942" s="2"/>
      <c r="I942" s="2"/>
      <c r="J942" s="2"/>
      <c r="K942" s="2"/>
      <c r="L942" s="2"/>
      <c r="M942" s="2"/>
      <c r="N942" s="2"/>
      <c r="O942" s="2"/>
      <c r="P942" s="2"/>
      <c r="Q942" s="2"/>
      <c r="R942" s="2"/>
      <c r="S942" s="2"/>
      <c r="T942" s="2"/>
      <c r="U942" s="2"/>
      <c r="V942" s="2"/>
      <c r="W942" s="2"/>
      <c r="X942" s="2"/>
      <c r="Y942" s="2"/>
      <c r="Z942" s="2"/>
      <c r="AA942" s="2"/>
      <c r="AB942" s="2"/>
    </row>
    <row r="943" spans="1:28" ht="13">
      <c r="A943" s="2"/>
      <c r="B943" s="2"/>
      <c r="C943" s="2"/>
      <c r="D943" s="2"/>
      <c r="E943" s="2"/>
      <c r="F943" s="2"/>
      <c r="G943" s="43"/>
      <c r="H943" s="2"/>
      <c r="I943" s="2"/>
      <c r="J943" s="2"/>
      <c r="K943" s="2"/>
      <c r="L943" s="2"/>
      <c r="M943" s="2"/>
      <c r="N943" s="2"/>
      <c r="O943" s="2"/>
      <c r="P943" s="2"/>
      <c r="Q943" s="2"/>
      <c r="R943" s="2"/>
      <c r="S943" s="2"/>
      <c r="T943" s="2"/>
      <c r="U943" s="2"/>
      <c r="V943" s="2"/>
      <c r="W943" s="2"/>
      <c r="X943" s="2"/>
      <c r="Y943" s="2"/>
      <c r="Z943" s="2"/>
      <c r="AA943" s="2"/>
      <c r="AB943" s="2"/>
    </row>
    <row r="944" spans="1:28" ht="13">
      <c r="A944" s="2"/>
      <c r="B944" s="2"/>
      <c r="C944" s="2"/>
      <c r="D944" s="2"/>
      <c r="E944" s="2"/>
      <c r="F944" s="2"/>
      <c r="G944" s="43"/>
      <c r="H944" s="2"/>
      <c r="I944" s="2"/>
      <c r="J944" s="2"/>
      <c r="K944" s="2"/>
      <c r="L944" s="2"/>
      <c r="M944" s="2"/>
      <c r="N944" s="2"/>
      <c r="O944" s="2"/>
      <c r="P944" s="2"/>
      <c r="Q944" s="2"/>
      <c r="R944" s="2"/>
      <c r="S944" s="2"/>
      <c r="T944" s="2"/>
      <c r="U944" s="2"/>
      <c r="V944" s="2"/>
      <c r="W944" s="2"/>
      <c r="X944" s="2"/>
      <c r="Y944" s="2"/>
      <c r="Z944" s="2"/>
      <c r="AA944" s="2"/>
      <c r="AB944" s="2"/>
    </row>
    <row r="945" spans="1:28" ht="13">
      <c r="A945" s="2"/>
      <c r="B945" s="2"/>
      <c r="C945" s="2"/>
      <c r="D945" s="2"/>
      <c r="E945" s="2"/>
      <c r="F945" s="2"/>
      <c r="G945" s="43"/>
      <c r="H945" s="2"/>
      <c r="I945" s="2"/>
      <c r="J945" s="2"/>
      <c r="K945" s="2"/>
      <c r="L945" s="2"/>
      <c r="M945" s="2"/>
      <c r="N945" s="2"/>
      <c r="O945" s="2"/>
      <c r="P945" s="2"/>
      <c r="Q945" s="2"/>
      <c r="R945" s="2"/>
      <c r="S945" s="2"/>
      <c r="T945" s="2"/>
      <c r="U945" s="2"/>
      <c r="V945" s="2"/>
      <c r="W945" s="2"/>
      <c r="X945" s="2"/>
      <c r="Y945" s="2"/>
      <c r="Z945" s="2"/>
      <c r="AA945" s="2"/>
      <c r="AB945" s="2"/>
    </row>
    <row r="946" spans="1:28" ht="13">
      <c r="A946" s="2"/>
      <c r="B946" s="2"/>
      <c r="C946" s="2"/>
      <c r="D946" s="2"/>
      <c r="E946" s="2"/>
      <c r="F946" s="2"/>
      <c r="G946" s="43"/>
      <c r="H946" s="2"/>
      <c r="I946" s="2"/>
      <c r="J946" s="2"/>
      <c r="K946" s="2"/>
      <c r="L946" s="2"/>
      <c r="M946" s="2"/>
      <c r="N946" s="2"/>
      <c r="O946" s="2"/>
      <c r="P946" s="2"/>
      <c r="Q946" s="2"/>
      <c r="R946" s="2"/>
      <c r="S946" s="2"/>
      <c r="T946" s="2"/>
      <c r="U946" s="2"/>
      <c r="V946" s="2"/>
      <c r="W946" s="2"/>
      <c r="X946" s="2"/>
      <c r="Y946" s="2"/>
      <c r="Z946" s="2"/>
      <c r="AA946" s="2"/>
      <c r="AB946" s="2"/>
    </row>
    <row r="947" spans="1:28" ht="13">
      <c r="A947" s="2"/>
      <c r="B947" s="2"/>
      <c r="C947" s="2"/>
      <c r="D947" s="2"/>
      <c r="E947" s="2"/>
      <c r="F947" s="2"/>
      <c r="G947" s="43"/>
      <c r="H947" s="2"/>
      <c r="I947" s="2"/>
      <c r="J947" s="2"/>
      <c r="K947" s="2"/>
      <c r="L947" s="2"/>
      <c r="M947" s="2"/>
      <c r="N947" s="2"/>
      <c r="O947" s="2"/>
      <c r="P947" s="2"/>
      <c r="Q947" s="2"/>
      <c r="R947" s="2"/>
      <c r="S947" s="2"/>
      <c r="T947" s="2"/>
      <c r="U947" s="2"/>
      <c r="V947" s="2"/>
      <c r="W947" s="2"/>
      <c r="X947" s="2"/>
      <c r="Y947" s="2"/>
      <c r="Z947" s="2"/>
      <c r="AA947" s="2"/>
      <c r="AB947" s="2"/>
    </row>
    <row r="948" spans="1:28" ht="13">
      <c r="A948" s="2"/>
      <c r="B948" s="2"/>
      <c r="C948" s="2"/>
      <c r="D948" s="2"/>
      <c r="E948" s="2"/>
      <c r="F948" s="2"/>
      <c r="G948" s="43"/>
      <c r="H948" s="2"/>
      <c r="I948" s="2"/>
      <c r="J948" s="2"/>
      <c r="K948" s="2"/>
      <c r="L948" s="2"/>
      <c r="M948" s="2"/>
      <c r="N948" s="2"/>
      <c r="O948" s="2"/>
      <c r="P948" s="2"/>
      <c r="Q948" s="2"/>
      <c r="R948" s="2"/>
      <c r="S948" s="2"/>
      <c r="T948" s="2"/>
      <c r="U948" s="2"/>
      <c r="V948" s="2"/>
      <c r="W948" s="2"/>
      <c r="X948" s="2"/>
      <c r="Y948" s="2"/>
      <c r="Z948" s="2"/>
      <c r="AA948" s="2"/>
      <c r="AB948" s="2"/>
    </row>
    <row r="949" spans="1:28" ht="13">
      <c r="A949" s="2"/>
      <c r="B949" s="2"/>
      <c r="C949" s="2"/>
      <c r="D949" s="2"/>
      <c r="E949" s="2"/>
      <c r="F949" s="2"/>
      <c r="G949" s="43"/>
      <c r="H949" s="2"/>
      <c r="I949" s="2"/>
      <c r="J949" s="2"/>
      <c r="K949" s="2"/>
      <c r="L949" s="2"/>
      <c r="M949" s="2"/>
      <c r="N949" s="2"/>
      <c r="O949" s="2"/>
      <c r="P949" s="2"/>
      <c r="Q949" s="2"/>
      <c r="R949" s="2"/>
      <c r="S949" s="2"/>
      <c r="T949" s="2"/>
      <c r="U949" s="2"/>
      <c r="V949" s="2"/>
      <c r="W949" s="2"/>
      <c r="X949" s="2"/>
      <c r="Y949" s="2"/>
      <c r="Z949" s="2"/>
      <c r="AA949" s="2"/>
      <c r="AB949" s="2"/>
    </row>
    <row r="950" spans="1:28" ht="13">
      <c r="A950" s="2"/>
      <c r="B950" s="2"/>
      <c r="C950" s="2"/>
      <c r="D950" s="2"/>
      <c r="E950" s="2"/>
      <c r="F950" s="2"/>
      <c r="G950" s="43"/>
      <c r="H950" s="2"/>
      <c r="I950" s="2"/>
      <c r="J950" s="2"/>
      <c r="K950" s="2"/>
      <c r="L950" s="2"/>
      <c r="M950" s="2"/>
      <c r="N950" s="2"/>
      <c r="O950" s="2"/>
      <c r="P950" s="2"/>
      <c r="Q950" s="2"/>
      <c r="R950" s="2"/>
      <c r="S950" s="2"/>
      <c r="T950" s="2"/>
      <c r="U950" s="2"/>
      <c r="V950" s="2"/>
      <c r="W950" s="2"/>
      <c r="X950" s="2"/>
      <c r="Y950" s="2"/>
      <c r="Z950" s="2"/>
      <c r="AA950" s="2"/>
      <c r="AB950" s="2"/>
    </row>
    <row r="951" spans="1:28" ht="13">
      <c r="A951" s="2"/>
      <c r="B951" s="2"/>
      <c r="C951" s="2"/>
      <c r="D951" s="2"/>
      <c r="E951" s="2"/>
      <c r="F951" s="2"/>
      <c r="G951" s="43"/>
      <c r="H951" s="2"/>
      <c r="I951" s="2"/>
      <c r="J951" s="2"/>
      <c r="K951" s="2"/>
      <c r="L951" s="2"/>
      <c r="M951" s="2"/>
      <c r="N951" s="2"/>
      <c r="O951" s="2"/>
      <c r="P951" s="2"/>
      <c r="Q951" s="2"/>
      <c r="R951" s="2"/>
      <c r="S951" s="2"/>
      <c r="T951" s="2"/>
      <c r="U951" s="2"/>
      <c r="V951" s="2"/>
      <c r="W951" s="2"/>
      <c r="X951" s="2"/>
      <c r="Y951" s="2"/>
      <c r="Z951" s="2"/>
      <c r="AA951" s="2"/>
      <c r="AB951" s="2"/>
    </row>
    <row r="952" spans="1:28" ht="13">
      <c r="A952" s="2"/>
      <c r="B952" s="2"/>
      <c r="C952" s="2"/>
      <c r="D952" s="2"/>
      <c r="E952" s="2"/>
      <c r="F952" s="2"/>
      <c r="G952" s="43"/>
      <c r="H952" s="2"/>
      <c r="I952" s="2"/>
      <c r="J952" s="2"/>
      <c r="K952" s="2"/>
      <c r="L952" s="2"/>
      <c r="M952" s="2"/>
      <c r="N952" s="2"/>
      <c r="O952" s="2"/>
      <c r="P952" s="2"/>
      <c r="Q952" s="2"/>
      <c r="R952" s="2"/>
      <c r="S952" s="2"/>
      <c r="T952" s="2"/>
      <c r="U952" s="2"/>
      <c r="V952" s="2"/>
      <c r="W952" s="2"/>
      <c r="X952" s="2"/>
      <c r="Y952" s="2"/>
      <c r="Z952" s="2"/>
      <c r="AA952" s="2"/>
      <c r="AB952" s="2"/>
    </row>
    <row r="953" spans="1:28" ht="13">
      <c r="A953" s="2"/>
      <c r="B953" s="2"/>
      <c r="C953" s="2"/>
      <c r="D953" s="2"/>
      <c r="E953" s="2"/>
      <c r="F953" s="2"/>
      <c r="G953" s="43"/>
      <c r="H953" s="2"/>
      <c r="I953" s="2"/>
      <c r="J953" s="2"/>
      <c r="K953" s="2"/>
      <c r="L953" s="2"/>
      <c r="M953" s="2"/>
      <c r="N953" s="2"/>
      <c r="O953" s="2"/>
      <c r="P953" s="2"/>
      <c r="Q953" s="2"/>
      <c r="R953" s="2"/>
      <c r="S953" s="2"/>
      <c r="T953" s="2"/>
      <c r="U953" s="2"/>
      <c r="V953" s="2"/>
      <c r="W953" s="2"/>
      <c r="X953" s="2"/>
      <c r="Y953" s="2"/>
      <c r="Z953" s="2"/>
      <c r="AA953" s="2"/>
      <c r="AB953" s="2"/>
    </row>
    <row r="954" spans="1:28" ht="13">
      <c r="A954" s="2"/>
      <c r="B954" s="2"/>
      <c r="C954" s="2"/>
      <c r="D954" s="2"/>
      <c r="E954" s="2"/>
      <c r="F954" s="2"/>
      <c r="G954" s="43"/>
      <c r="H954" s="2"/>
      <c r="I954" s="2"/>
      <c r="J954" s="2"/>
      <c r="K954" s="2"/>
      <c r="L954" s="2"/>
      <c r="M954" s="2"/>
      <c r="N954" s="2"/>
      <c r="O954" s="2"/>
      <c r="P954" s="2"/>
      <c r="Q954" s="2"/>
      <c r="R954" s="2"/>
      <c r="S954" s="2"/>
      <c r="T954" s="2"/>
      <c r="U954" s="2"/>
      <c r="V954" s="2"/>
      <c r="W954" s="2"/>
      <c r="X954" s="2"/>
      <c r="Y954" s="2"/>
      <c r="Z954" s="2"/>
      <c r="AA954" s="2"/>
      <c r="AB954" s="2"/>
    </row>
    <row r="955" spans="1:28" ht="13">
      <c r="A955" s="2"/>
      <c r="B955" s="2"/>
      <c r="C955" s="2"/>
      <c r="D955" s="2"/>
      <c r="E955" s="2"/>
      <c r="F955" s="2"/>
      <c r="G955" s="43"/>
      <c r="H955" s="2"/>
      <c r="I955" s="2"/>
      <c r="J955" s="2"/>
      <c r="K955" s="2"/>
      <c r="L955" s="2"/>
      <c r="M955" s="2"/>
      <c r="N955" s="2"/>
      <c r="O955" s="2"/>
      <c r="P955" s="2"/>
      <c r="Q955" s="2"/>
      <c r="R955" s="2"/>
      <c r="S955" s="2"/>
      <c r="T955" s="2"/>
      <c r="U955" s="2"/>
      <c r="V955" s="2"/>
      <c r="W955" s="2"/>
      <c r="X955" s="2"/>
      <c r="Y955" s="2"/>
      <c r="Z955" s="2"/>
      <c r="AA955" s="2"/>
      <c r="AB955" s="2"/>
    </row>
    <row r="956" spans="1:28" ht="13">
      <c r="A956" s="2"/>
      <c r="B956" s="2"/>
      <c r="C956" s="2"/>
      <c r="D956" s="2"/>
      <c r="E956" s="2"/>
      <c r="F956" s="2"/>
      <c r="G956" s="43"/>
      <c r="H956" s="2"/>
      <c r="I956" s="2"/>
      <c r="J956" s="2"/>
      <c r="K956" s="2"/>
      <c r="L956" s="2"/>
      <c r="M956" s="2"/>
      <c r="N956" s="2"/>
      <c r="O956" s="2"/>
      <c r="P956" s="2"/>
      <c r="Q956" s="2"/>
      <c r="R956" s="2"/>
      <c r="S956" s="2"/>
      <c r="T956" s="2"/>
      <c r="U956" s="2"/>
      <c r="V956" s="2"/>
      <c r="W956" s="2"/>
      <c r="X956" s="2"/>
      <c r="Y956" s="2"/>
      <c r="Z956" s="2"/>
      <c r="AA956" s="2"/>
      <c r="AB956" s="2"/>
    </row>
    <row r="957" spans="1:28" ht="13">
      <c r="A957" s="2"/>
      <c r="B957" s="2"/>
      <c r="C957" s="2"/>
      <c r="D957" s="2"/>
      <c r="E957" s="2"/>
      <c r="F957" s="2"/>
      <c r="G957" s="43"/>
      <c r="H957" s="2"/>
      <c r="I957" s="2"/>
      <c r="J957" s="2"/>
      <c r="K957" s="2"/>
      <c r="L957" s="2"/>
      <c r="M957" s="2"/>
      <c r="N957" s="2"/>
      <c r="O957" s="2"/>
      <c r="P957" s="2"/>
      <c r="Q957" s="2"/>
      <c r="R957" s="2"/>
      <c r="S957" s="2"/>
      <c r="T957" s="2"/>
      <c r="U957" s="2"/>
      <c r="V957" s="2"/>
      <c r="W957" s="2"/>
      <c r="X957" s="2"/>
      <c r="Y957" s="2"/>
      <c r="Z957" s="2"/>
      <c r="AA957" s="2"/>
      <c r="AB957" s="2"/>
    </row>
    <row r="958" spans="1:28" ht="13">
      <c r="A958" s="2"/>
      <c r="B958" s="2"/>
      <c r="C958" s="2"/>
      <c r="D958" s="2"/>
      <c r="E958" s="2"/>
      <c r="F958" s="2"/>
      <c r="G958" s="43"/>
      <c r="H958" s="2"/>
      <c r="I958" s="2"/>
      <c r="J958" s="2"/>
      <c r="K958" s="2"/>
      <c r="L958" s="2"/>
      <c r="M958" s="2"/>
      <c r="N958" s="2"/>
      <c r="O958" s="2"/>
      <c r="P958" s="2"/>
      <c r="Q958" s="2"/>
      <c r="R958" s="2"/>
      <c r="S958" s="2"/>
      <c r="T958" s="2"/>
      <c r="U958" s="2"/>
      <c r="V958" s="2"/>
      <c r="W958" s="2"/>
      <c r="X958" s="2"/>
      <c r="Y958" s="2"/>
      <c r="Z958" s="2"/>
      <c r="AA958" s="2"/>
      <c r="AB958" s="2"/>
    </row>
    <row r="959" spans="1:28" ht="13">
      <c r="A959" s="2"/>
      <c r="B959" s="2"/>
      <c r="C959" s="2"/>
      <c r="D959" s="2"/>
      <c r="E959" s="2"/>
      <c r="F959" s="2"/>
      <c r="G959" s="43"/>
      <c r="H959" s="2"/>
      <c r="I959" s="2"/>
      <c r="J959" s="2"/>
      <c r="K959" s="2"/>
      <c r="L959" s="2"/>
      <c r="M959" s="2"/>
      <c r="N959" s="2"/>
      <c r="O959" s="2"/>
      <c r="P959" s="2"/>
      <c r="Q959" s="2"/>
      <c r="R959" s="2"/>
      <c r="S959" s="2"/>
      <c r="T959" s="2"/>
      <c r="U959" s="2"/>
      <c r="V959" s="2"/>
      <c r="W959" s="2"/>
      <c r="X959" s="2"/>
      <c r="Y959" s="2"/>
      <c r="Z959" s="2"/>
      <c r="AA959" s="2"/>
      <c r="AB959" s="2"/>
    </row>
    <row r="960" spans="1:28" ht="13">
      <c r="A960" s="2"/>
      <c r="B960" s="2"/>
      <c r="C960" s="2"/>
      <c r="D960" s="2"/>
      <c r="E960" s="2"/>
      <c r="F960" s="2"/>
      <c r="G960" s="43"/>
      <c r="H960" s="2"/>
      <c r="I960" s="2"/>
      <c r="J960" s="2"/>
      <c r="K960" s="2"/>
      <c r="L960" s="2"/>
      <c r="M960" s="2"/>
      <c r="N960" s="2"/>
      <c r="O960" s="2"/>
      <c r="P960" s="2"/>
      <c r="Q960" s="2"/>
      <c r="R960" s="2"/>
      <c r="S960" s="2"/>
      <c r="T960" s="2"/>
      <c r="U960" s="2"/>
      <c r="V960" s="2"/>
      <c r="W960" s="2"/>
      <c r="X960" s="2"/>
      <c r="Y960" s="2"/>
      <c r="Z960" s="2"/>
      <c r="AA960" s="2"/>
      <c r="AB960" s="2"/>
    </row>
  </sheetData>
  <conditionalFormatting sqref="J1:J99 L1:L99 N1:N99 Q1:Q99 K34:K39 M34:M39 P34:P39 K80:K84 M80:M84 O80:O84 R80:R84">
    <cfRule type="colorScale" priority="2">
      <colorScale>
        <cfvo type="formula" val="1"/>
        <cfvo type="formula" val="3"/>
        <cfvo type="formula" val="5"/>
        <color rgb="FFF4CCCC"/>
        <color rgb="FFFFF2CC"/>
        <color rgb="FFB7E1CD"/>
      </colorScale>
    </cfRule>
  </conditionalFormatting>
  <conditionalFormatting sqref="T34:T39">
    <cfRule type="colorScale" priority="3">
      <colorScale>
        <cfvo type="formula" val="1"/>
        <cfvo type="formula" val="3"/>
        <cfvo type="formula" val="5"/>
        <color rgb="FFF4CCCC"/>
        <color rgb="FFFFF2CC"/>
        <color rgb="FFB7E1CD"/>
      </colorScale>
    </cfRule>
  </conditionalFormatting>
  <conditionalFormatting sqref="H1:H960">
    <cfRule type="colorScale" priority="1">
      <colorScale>
        <cfvo type="formula" val="1"/>
        <cfvo type="formula" val="3"/>
        <cfvo type="formula" val="5"/>
        <color rgb="FFF4CCCC"/>
        <color rgb="FFFFF2CC"/>
        <color rgb="FFB7E1CD"/>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15"/>
  <sheetViews>
    <sheetView zoomScale="85" zoomScaleNormal="85" workbookViewId="0">
      <selection activeCell="F25" sqref="F25"/>
    </sheetView>
  </sheetViews>
  <sheetFormatPr baseColWidth="10" defaultColWidth="8.83203125" defaultRowHeight="13"/>
  <cols>
    <col min="1" max="1" width="28.6640625" bestFit="1" customWidth="1"/>
    <col min="2" max="2" width="8.83203125" customWidth="1"/>
    <col min="3" max="3" width="17.5" customWidth="1"/>
    <col min="4" max="4" width="9.6640625" customWidth="1"/>
    <col min="5" max="7" width="12.6640625" style="12" customWidth="1"/>
  </cols>
  <sheetData>
    <row r="3" spans="1:9">
      <c r="A3" s="9" t="s">
        <v>929</v>
      </c>
      <c r="B3" s="12" t="s">
        <v>930</v>
      </c>
      <c r="C3" s="12" t="s">
        <v>931</v>
      </c>
      <c r="D3" s="12" t="s">
        <v>932</v>
      </c>
      <c r="E3" s="12" t="s">
        <v>933</v>
      </c>
      <c r="F3" s="12" t="s">
        <v>934</v>
      </c>
      <c r="G3" s="12" t="s">
        <v>935</v>
      </c>
      <c r="I3" s="40" t="s">
        <v>936</v>
      </c>
    </row>
    <row r="4" spans="1:9">
      <c r="A4" s="10" t="s">
        <v>20</v>
      </c>
      <c r="B4" s="12">
        <v>68</v>
      </c>
      <c r="C4" s="13">
        <v>4.1764705882352944</v>
      </c>
      <c r="D4" s="14">
        <v>0.95588235294117652</v>
      </c>
      <c r="E4" s="13">
        <v>4.6764705882352944</v>
      </c>
      <c r="F4" s="13">
        <v>4.2647058823529411</v>
      </c>
      <c r="G4" s="13">
        <v>4.9705882352941178</v>
      </c>
      <c r="I4" t="s">
        <v>937</v>
      </c>
    </row>
    <row r="5" spans="1:9">
      <c r="A5" s="11" t="s">
        <v>215</v>
      </c>
      <c r="B5" s="12">
        <v>12</v>
      </c>
      <c r="C5" s="13">
        <v>3.5</v>
      </c>
      <c r="D5" s="14">
        <v>0.91666666666666663</v>
      </c>
      <c r="E5" s="13">
        <v>4.666666666666667</v>
      </c>
      <c r="F5" s="13">
        <v>3.5</v>
      </c>
      <c r="G5" s="13">
        <v>4.833333333333333</v>
      </c>
      <c r="I5" t="s">
        <v>938</v>
      </c>
    </row>
    <row r="6" spans="1:9">
      <c r="A6" s="11" t="s">
        <v>327</v>
      </c>
      <c r="B6" s="12">
        <v>11</v>
      </c>
      <c r="C6" s="13">
        <v>4.8181818181818183</v>
      </c>
      <c r="D6" s="14">
        <v>1</v>
      </c>
      <c r="E6" s="13">
        <v>5</v>
      </c>
      <c r="F6" s="13">
        <v>4.8181818181818183</v>
      </c>
      <c r="G6" s="13">
        <v>5</v>
      </c>
      <c r="I6" t="s">
        <v>939</v>
      </c>
    </row>
    <row r="7" spans="1:9">
      <c r="A7" s="11" t="s">
        <v>749</v>
      </c>
      <c r="B7" s="12">
        <v>5</v>
      </c>
      <c r="C7" s="13">
        <v>5</v>
      </c>
      <c r="D7" s="14">
        <v>1</v>
      </c>
      <c r="E7" s="13">
        <v>5</v>
      </c>
      <c r="F7" s="13">
        <v>5</v>
      </c>
      <c r="G7" s="13">
        <v>5</v>
      </c>
    </row>
    <row r="8" spans="1:9">
      <c r="A8" s="11" t="s">
        <v>22</v>
      </c>
      <c r="B8" s="12">
        <v>20</v>
      </c>
      <c r="C8" s="13">
        <v>4.2</v>
      </c>
      <c r="D8" s="14">
        <v>1</v>
      </c>
      <c r="E8" s="13">
        <v>4.7</v>
      </c>
      <c r="F8" s="13">
        <v>4.2</v>
      </c>
      <c r="G8" s="13">
        <v>5</v>
      </c>
    </row>
    <row r="9" spans="1:9">
      <c r="A9" s="11" t="s">
        <v>795</v>
      </c>
      <c r="B9" s="12">
        <v>10</v>
      </c>
      <c r="C9" s="13">
        <v>4</v>
      </c>
      <c r="D9" s="14">
        <v>0.8</v>
      </c>
      <c r="E9" s="13">
        <v>4</v>
      </c>
      <c r="F9" s="13">
        <v>4.5999999999999996</v>
      </c>
      <c r="G9" s="13">
        <v>5</v>
      </c>
    </row>
    <row r="10" spans="1:9">
      <c r="A10" s="11" t="s">
        <v>382</v>
      </c>
      <c r="B10" s="12">
        <v>10</v>
      </c>
      <c r="C10" s="13">
        <v>4</v>
      </c>
      <c r="D10" s="14">
        <v>1</v>
      </c>
      <c r="E10" s="13">
        <v>4.8</v>
      </c>
      <c r="F10" s="13">
        <v>4</v>
      </c>
      <c r="G10" s="13">
        <v>5</v>
      </c>
    </row>
    <row r="11" spans="1:9">
      <c r="A11" s="10" t="s">
        <v>399</v>
      </c>
      <c r="B11" s="12">
        <v>30</v>
      </c>
      <c r="C11" s="13">
        <v>3.3333333333333335</v>
      </c>
      <c r="D11" s="14">
        <v>0.96666666666666667</v>
      </c>
      <c r="E11" s="13">
        <v>4.666666666666667</v>
      </c>
      <c r="F11" s="13">
        <v>3.3666666666666667</v>
      </c>
      <c r="G11" s="13">
        <v>5</v>
      </c>
    </row>
    <row r="12" spans="1:9">
      <c r="A12" s="11" t="s">
        <v>401</v>
      </c>
      <c r="B12" s="12">
        <v>10</v>
      </c>
      <c r="C12" s="13">
        <v>3.2</v>
      </c>
      <c r="D12" s="14">
        <v>0.9</v>
      </c>
      <c r="E12" s="13">
        <v>4.4000000000000004</v>
      </c>
      <c r="F12" s="13">
        <v>3.3</v>
      </c>
      <c r="G12" s="13">
        <v>5</v>
      </c>
    </row>
    <row r="13" spans="1:9">
      <c r="A13" s="11" t="s">
        <v>494</v>
      </c>
      <c r="B13" s="12">
        <v>10</v>
      </c>
      <c r="C13" s="13">
        <v>3.6</v>
      </c>
      <c r="D13" s="14">
        <v>1</v>
      </c>
      <c r="E13" s="13">
        <v>5</v>
      </c>
      <c r="F13" s="13">
        <v>3.6</v>
      </c>
      <c r="G13" s="13">
        <v>5</v>
      </c>
    </row>
    <row r="14" spans="1:9">
      <c r="A14" s="11" t="s">
        <v>588</v>
      </c>
      <c r="B14" s="12">
        <v>10</v>
      </c>
      <c r="C14" s="13">
        <v>3.2</v>
      </c>
      <c r="D14" s="14">
        <v>1</v>
      </c>
      <c r="E14" s="13">
        <v>4.5999999999999996</v>
      </c>
      <c r="F14" s="13">
        <v>3.2</v>
      </c>
      <c r="G14" s="13">
        <v>5</v>
      </c>
    </row>
    <row r="15" spans="1:9">
      <c r="A15" s="10" t="s">
        <v>940</v>
      </c>
      <c r="B15" s="12">
        <v>98</v>
      </c>
      <c r="C15" s="13">
        <v>3.9183673469387754</v>
      </c>
      <c r="D15" s="14">
        <v>0.95918367346938771</v>
      </c>
      <c r="E15" s="13">
        <v>4.6734693877551017</v>
      </c>
      <c r="F15" s="13">
        <v>3.989795918367347</v>
      </c>
      <c r="G15" s="13">
        <v>4.9795918367346941</v>
      </c>
    </row>
  </sheetData>
  <conditionalFormatting pivot="1" sqref="C5:C10 C4 C11 C12:C14 E4:G4 E5:G10 E11:G11 E12:G14">
    <cfRule type="colorScale" priority="2">
      <colorScale>
        <cfvo type="num" val="1"/>
        <cfvo type="num" val="3"/>
        <cfvo type="num" val="5"/>
        <color rgb="FFFBB3B5"/>
        <color rgb="FFFFF0A7"/>
        <color rgb="FFA9DBB6"/>
      </colorScale>
    </cfRule>
  </conditionalFormatting>
  <conditionalFormatting pivot="1" sqref="D5:D10 D4 D11 D12:D14">
    <cfRule type="colorScale" priority="1">
      <colorScale>
        <cfvo type="num" val="0.6"/>
        <cfvo type="num" val="0.8"/>
        <cfvo type="num" val="1"/>
        <color rgb="FFFBB3B5"/>
        <color rgb="FFFFF0A7"/>
        <color rgb="FFA9DBB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7"/>
  <sheetViews>
    <sheetView topLeftCell="G1" zoomScale="85" zoomScaleNormal="85" workbookViewId="0">
      <pane ySplit="1" topLeftCell="A2" activePane="bottomLeft" state="frozen"/>
      <selection pane="bottomLeft" activeCell="Y1" sqref="F1:Y1048576"/>
    </sheetView>
  </sheetViews>
  <sheetFormatPr baseColWidth="10" defaultColWidth="8.83203125" defaultRowHeight="13"/>
  <cols>
    <col min="1" max="1" width="16.5" customWidth="1"/>
    <col min="2" max="2" width="26.83203125" customWidth="1"/>
    <col min="3" max="3" width="35.83203125" customWidth="1"/>
    <col min="4" max="4" width="27.6640625" customWidth="1"/>
    <col min="5" max="5" width="57.83203125" customWidth="1"/>
    <col min="6" max="6" width="12.5" style="21" bestFit="1" customWidth="1"/>
    <col min="7" max="7" width="17.1640625" customWidth="1"/>
    <col min="8" max="8" width="15.6640625" customWidth="1"/>
    <col min="9" max="9" width="13.5" customWidth="1"/>
    <col min="10" max="10" width="11.33203125" customWidth="1"/>
    <col min="11" max="11" width="13.5" customWidth="1"/>
    <col min="12" max="12" width="10.83203125" customWidth="1"/>
    <col min="13" max="13" width="8.83203125" customWidth="1"/>
    <col min="14" max="14" width="8.6640625" style="21" bestFit="1" customWidth="1"/>
    <col min="15" max="24" width="8.83203125" customWidth="1"/>
    <col min="25" max="25" width="8" bestFit="1" customWidth="1"/>
  </cols>
  <sheetData>
    <row r="1" spans="1:25" s="18" customFormat="1" ht="32.5" customHeight="1" thickBot="1">
      <c r="A1" s="34" t="s">
        <v>1</v>
      </c>
      <c r="B1" s="34" t="s">
        <v>3</v>
      </c>
      <c r="C1" s="34" t="s">
        <v>4</v>
      </c>
      <c r="D1" s="34" t="s">
        <v>5</v>
      </c>
      <c r="E1" s="34" t="s">
        <v>6</v>
      </c>
      <c r="F1" s="34" t="s">
        <v>941</v>
      </c>
      <c r="G1" s="34" t="s">
        <v>942</v>
      </c>
      <c r="H1" s="34" t="s">
        <v>943</v>
      </c>
      <c r="I1" s="34" t="s">
        <v>944</v>
      </c>
      <c r="J1" s="34" t="s">
        <v>945</v>
      </c>
      <c r="K1" s="34" t="s">
        <v>946</v>
      </c>
      <c r="L1" s="34" t="s">
        <v>947</v>
      </c>
      <c r="M1" s="34" t="s">
        <v>948</v>
      </c>
      <c r="N1" s="34" t="s">
        <v>949</v>
      </c>
      <c r="O1" s="34" t="s">
        <v>950</v>
      </c>
      <c r="P1" s="34" t="s">
        <v>951</v>
      </c>
      <c r="Q1" s="34" t="s">
        <v>952</v>
      </c>
      <c r="R1" s="34" t="s">
        <v>953</v>
      </c>
      <c r="S1" s="34" t="s">
        <v>954</v>
      </c>
      <c r="T1" s="34" t="s">
        <v>955</v>
      </c>
      <c r="U1" s="34" t="s">
        <v>956</v>
      </c>
      <c r="V1" s="34" t="s">
        <v>957</v>
      </c>
      <c r="W1" s="34" t="s">
        <v>958</v>
      </c>
      <c r="X1" s="34" t="s">
        <v>959</v>
      </c>
      <c r="Y1" s="34" t="s">
        <v>960</v>
      </c>
    </row>
    <row r="2" spans="1:25" ht="48" customHeight="1" thickBot="1">
      <c r="A2" s="22" t="s">
        <v>21</v>
      </c>
      <c r="B2" s="35" t="s">
        <v>23</v>
      </c>
      <c r="C2" s="35" t="s">
        <v>24</v>
      </c>
      <c r="D2" s="35" t="s">
        <v>961</v>
      </c>
      <c r="E2" s="35" t="s">
        <v>962</v>
      </c>
      <c r="F2" s="30">
        <v>4</v>
      </c>
      <c r="G2" s="22" t="s">
        <v>963</v>
      </c>
      <c r="H2" s="24">
        <v>5</v>
      </c>
      <c r="I2" s="22" t="s">
        <v>964</v>
      </c>
      <c r="J2" s="25">
        <v>3</v>
      </c>
      <c r="K2" s="22" t="s">
        <v>965</v>
      </c>
      <c r="L2" s="24">
        <v>5</v>
      </c>
      <c r="M2" s="22" t="s">
        <v>966</v>
      </c>
      <c r="N2" s="32">
        <v>3</v>
      </c>
      <c r="O2" s="22"/>
      <c r="P2" s="24">
        <v>5</v>
      </c>
      <c r="Q2" s="22" t="s">
        <v>967</v>
      </c>
      <c r="R2" s="25">
        <v>3</v>
      </c>
      <c r="S2" s="22" t="s">
        <v>968</v>
      </c>
      <c r="T2" s="24">
        <v>5</v>
      </c>
      <c r="U2" s="22" t="s">
        <v>62</v>
      </c>
      <c r="V2" s="22" t="s">
        <v>969</v>
      </c>
      <c r="W2" s="22" t="s">
        <v>32</v>
      </c>
      <c r="X2" s="22" t="s">
        <v>970</v>
      </c>
      <c r="Y2" s="26">
        <v>1</v>
      </c>
    </row>
    <row r="3" spans="1:25" ht="48" customHeight="1" thickBot="1">
      <c r="A3" s="22" t="s">
        <v>34</v>
      </c>
      <c r="B3" s="35" t="s">
        <v>35</v>
      </c>
      <c r="C3" s="35" t="s">
        <v>36</v>
      </c>
      <c r="D3" s="35" t="s">
        <v>37</v>
      </c>
      <c r="E3" s="35" t="s">
        <v>971</v>
      </c>
      <c r="F3" s="31">
        <v>5</v>
      </c>
      <c r="G3" s="22" t="s">
        <v>972</v>
      </c>
      <c r="H3" s="24">
        <v>5</v>
      </c>
      <c r="I3" s="22" t="s">
        <v>973</v>
      </c>
      <c r="J3" s="24">
        <v>5</v>
      </c>
      <c r="K3" s="22" t="s">
        <v>974</v>
      </c>
      <c r="L3" s="24">
        <v>5</v>
      </c>
      <c r="M3" s="22" t="s">
        <v>966</v>
      </c>
      <c r="N3" s="31">
        <v>5</v>
      </c>
      <c r="O3" s="22"/>
      <c r="P3" s="24">
        <v>5</v>
      </c>
      <c r="Q3" s="22" t="s">
        <v>975</v>
      </c>
      <c r="R3" s="24">
        <v>5</v>
      </c>
      <c r="S3" s="22" t="s">
        <v>976</v>
      </c>
      <c r="T3" s="24">
        <v>5</v>
      </c>
      <c r="U3" s="22" t="s">
        <v>977</v>
      </c>
      <c r="V3" s="22" t="s">
        <v>978</v>
      </c>
      <c r="W3" s="22" t="s">
        <v>32</v>
      </c>
      <c r="X3" s="22" t="s">
        <v>92</v>
      </c>
      <c r="Y3" s="26">
        <v>1</v>
      </c>
    </row>
    <row r="4" spans="1:25" ht="48" customHeight="1" thickBot="1">
      <c r="A4" s="22" t="s">
        <v>44</v>
      </c>
      <c r="B4" s="35" t="s">
        <v>45</v>
      </c>
      <c r="C4" s="35" t="s">
        <v>46</v>
      </c>
      <c r="D4" s="35" t="s">
        <v>979</v>
      </c>
      <c r="E4" s="35" t="s">
        <v>980</v>
      </c>
      <c r="F4" s="31">
        <v>5</v>
      </c>
      <c r="G4" s="22" t="s">
        <v>981</v>
      </c>
      <c r="H4" s="24">
        <v>5</v>
      </c>
      <c r="I4" s="22" t="s">
        <v>982</v>
      </c>
      <c r="J4" s="24">
        <v>5</v>
      </c>
      <c r="K4" s="22" t="s">
        <v>974</v>
      </c>
      <c r="L4" s="24">
        <v>5</v>
      </c>
      <c r="M4" s="22" t="s">
        <v>983</v>
      </c>
      <c r="N4" s="31">
        <v>5</v>
      </c>
      <c r="O4" s="22"/>
      <c r="P4" s="24">
        <v>5</v>
      </c>
      <c r="Q4" s="22" t="s">
        <v>984</v>
      </c>
      <c r="R4" s="24">
        <v>5</v>
      </c>
      <c r="S4" s="22" t="s">
        <v>985</v>
      </c>
      <c r="T4" s="24">
        <v>5</v>
      </c>
      <c r="U4" s="22" t="s">
        <v>51</v>
      </c>
      <c r="V4" s="22" t="s">
        <v>969</v>
      </c>
      <c r="W4" s="22" t="s">
        <v>32</v>
      </c>
      <c r="X4" s="22" t="s">
        <v>986</v>
      </c>
      <c r="Y4" s="26">
        <v>1</v>
      </c>
    </row>
    <row r="5" spans="1:25" ht="48" customHeight="1" thickBot="1">
      <c r="A5" s="22" t="s">
        <v>131</v>
      </c>
      <c r="B5" s="45" t="s">
        <v>114</v>
      </c>
      <c r="C5" s="35" t="s">
        <v>115</v>
      </c>
      <c r="D5" s="35" t="s">
        <v>987</v>
      </c>
      <c r="E5" s="35" t="s">
        <v>988</v>
      </c>
      <c r="F5" s="32">
        <v>3</v>
      </c>
      <c r="G5" s="22" t="s">
        <v>989</v>
      </c>
      <c r="H5" s="25">
        <v>3</v>
      </c>
      <c r="I5" s="22" t="s">
        <v>990</v>
      </c>
      <c r="J5" s="25">
        <v>3</v>
      </c>
      <c r="K5" s="22" t="s">
        <v>991</v>
      </c>
      <c r="L5" s="25">
        <v>3</v>
      </c>
      <c r="M5" s="22" t="s">
        <v>992</v>
      </c>
      <c r="N5" s="33">
        <v>1</v>
      </c>
      <c r="O5" s="22"/>
      <c r="P5" s="25">
        <v>3</v>
      </c>
      <c r="Q5" s="22" t="s">
        <v>993</v>
      </c>
      <c r="R5" s="27">
        <v>1</v>
      </c>
      <c r="S5" s="22" t="s">
        <v>994</v>
      </c>
      <c r="T5" s="24">
        <v>5</v>
      </c>
      <c r="U5" s="22" t="s">
        <v>995</v>
      </c>
      <c r="V5" s="22" t="s">
        <v>969</v>
      </c>
      <c r="W5" s="22" t="s">
        <v>243</v>
      </c>
      <c r="X5" s="22" t="s">
        <v>996</v>
      </c>
      <c r="Y5" s="26">
        <v>0</v>
      </c>
    </row>
    <row r="6" spans="1:25" ht="48" customHeight="1" thickBot="1">
      <c r="A6" s="22" t="s">
        <v>141</v>
      </c>
      <c r="B6" s="35" t="s">
        <v>124</v>
      </c>
      <c r="C6" s="35" t="s">
        <v>125</v>
      </c>
      <c r="D6" s="35" t="s">
        <v>126</v>
      </c>
      <c r="E6" s="35" t="s">
        <v>997</v>
      </c>
      <c r="F6" s="31">
        <v>5</v>
      </c>
      <c r="G6" s="22" t="s">
        <v>998</v>
      </c>
      <c r="H6" s="24">
        <v>5</v>
      </c>
      <c r="I6" s="22" t="s">
        <v>973</v>
      </c>
      <c r="J6" s="24">
        <v>5</v>
      </c>
      <c r="K6" s="22" t="s">
        <v>974</v>
      </c>
      <c r="L6" s="24">
        <v>5</v>
      </c>
      <c r="M6" s="22" t="s">
        <v>966</v>
      </c>
      <c r="N6" s="31">
        <v>5</v>
      </c>
      <c r="O6" s="22"/>
      <c r="P6" s="24">
        <v>5</v>
      </c>
      <c r="Q6" s="22" t="s">
        <v>999</v>
      </c>
      <c r="R6" s="24">
        <v>5</v>
      </c>
      <c r="S6" s="22" t="s">
        <v>1000</v>
      </c>
      <c r="T6" s="24">
        <v>5</v>
      </c>
      <c r="U6" s="22" t="s">
        <v>62</v>
      </c>
      <c r="V6" s="22" t="s">
        <v>969</v>
      </c>
      <c r="W6" s="22" t="s">
        <v>32</v>
      </c>
      <c r="X6" s="22" t="s">
        <v>92</v>
      </c>
      <c r="Y6" s="26">
        <v>1</v>
      </c>
    </row>
    <row r="7" spans="1:25" ht="48" customHeight="1" thickBot="1">
      <c r="A7" s="22" t="s">
        <v>169</v>
      </c>
      <c r="B7" s="35" t="s">
        <v>151</v>
      </c>
      <c r="C7" s="35" t="s">
        <v>152</v>
      </c>
      <c r="D7" s="35" t="s">
        <v>153</v>
      </c>
      <c r="E7" s="35" t="s">
        <v>1001</v>
      </c>
      <c r="F7" s="31">
        <v>5</v>
      </c>
      <c r="G7" s="22" t="s">
        <v>1002</v>
      </c>
      <c r="H7" s="24">
        <v>5</v>
      </c>
      <c r="I7" s="22" t="s">
        <v>973</v>
      </c>
      <c r="J7" s="24">
        <v>5</v>
      </c>
      <c r="K7" s="22" t="s">
        <v>974</v>
      </c>
      <c r="L7" s="24">
        <v>5</v>
      </c>
      <c r="M7" s="22" t="s">
        <v>966</v>
      </c>
      <c r="N7" s="31">
        <v>5</v>
      </c>
      <c r="O7" s="22"/>
      <c r="P7" s="24">
        <v>5</v>
      </c>
      <c r="Q7" s="22" t="s">
        <v>1003</v>
      </c>
      <c r="R7" s="24">
        <v>5</v>
      </c>
      <c r="S7" s="22" t="s">
        <v>1004</v>
      </c>
      <c r="T7" s="24">
        <v>5</v>
      </c>
      <c r="U7" s="22" t="s">
        <v>62</v>
      </c>
      <c r="V7" s="22" t="s">
        <v>969</v>
      </c>
      <c r="W7" s="22" t="s">
        <v>32</v>
      </c>
      <c r="X7" s="22" t="s">
        <v>92</v>
      </c>
      <c r="Y7" s="26">
        <v>1</v>
      </c>
    </row>
    <row r="8" spans="1:25" ht="48" customHeight="1" thickBot="1">
      <c r="A8" s="22" t="s">
        <v>179</v>
      </c>
      <c r="B8" s="35" t="s">
        <v>160</v>
      </c>
      <c r="C8" s="35" t="s">
        <v>161</v>
      </c>
      <c r="D8" s="35" t="s">
        <v>1005</v>
      </c>
      <c r="E8" s="35" t="s">
        <v>1006</v>
      </c>
      <c r="F8" s="31">
        <v>5</v>
      </c>
      <c r="G8" s="22" t="s">
        <v>1007</v>
      </c>
      <c r="H8" s="24">
        <v>5</v>
      </c>
      <c r="I8" s="22" t="s">
        <v>973</v>
      </c>
      <c r="J8" s="24">
        <v>5</v>
      </c>
      <c r="K8" s="22" t="s">
        <v>974</v>
      </c>
      <c r="L8" s="24">
        <v>5</v>
      </c>
      <c r="M8" s="22" t="s">
        <v>966</v>
      </c>
      <c r="N8" s="31">
        <v>5</v>
      </c>
      <c r="O8" s="22"/>
      <c r="P8" s="24">
        <v>5</v>
      </c>
      <c r="Q8" s="22" t="s">
        <v>1008</v>
      </c>
      <c r="R8" s="24">
        <v>5</v>
      </c>
      <c r="S8" s="22" t="s">
        <v>1009</v>
      </c>
      <c r="T8" s="24">
        <v>5</v>
      </c>
      <c r="U8" s="22" t="s">
        <v>1010</v>
      </c>
      <c r="V8" s="22" t="s">
        <v>969</v>
      </c>
      <c r="W8" s="22" t="s">
        <v>32</v>
      </c>
      <c r="X8" s="22" t="s">
        <v>92</v>
      </c>
      <c r="Y8" s="26">
        <v>1</v>
      </c>
    </row>
    <row r="9" spans="1:25" ht="48" customHeight="1" thickBot="1">
      <c r="A9" s="22" t="s">
        <v>205</v>
      </c>
      <c r="B9" s="35" t="s">
        <v>190</v>
      </c>
      <c r="C9" s="35" t="s">
        <v>191</v>
      </c>
      <c r="D9" s="35" t="s">
        <v>192</v>
      </c>
      <c r="E9" s="35" t="s">
        <v>1011</v>
      </c>
      <c r="F9" s="31">
        <v>5</v>
      </c>
      <c r="G9" s="22" t="s">
        <v>1012</v>
      </c>
      <c r="H9" s="24">
        <v>5</v>
      </c>
      <c r="I9" s="22" t="s">
        <v>973</v>
      </c>
      <c r="J9" s="24">
        <v>5</v>
      </c>
      <c r="K9" s="22" t="s">
        <v>974</v>
      </c>
      <c r="L9" s="24">
        <v>5</v>
      </c>
      <c r="M9" s="22" t="s">
        <v>966</v>
      </c>
      <c r="N9" s="32">
        <v>3</v>
      </c>
      <c r="O9" s="22"/>
      <c r="P9" s="25">
        <v>3</v>
      </c>
      <c r="Q9" s="22" t="s">
        <v>1013</v>
      </c>
      <c r="R9" s="25">
        <v>3</v>
      </c>
      <c r="S9" s="22" t="s">
        <v>1014</v>
      </c>
      <c r="T9" s="24">
        <v>5</v>
      </c>
      <c r="U9" s="22" t="s">
        <v>1015</v>
      </c>
      <c r="V9" s="22" t="s">
        <v>969</v>
      </c>
      <c r="W9" s="22" t="s">
        <v>32</v>
      </c>
      <c r="X9" s="22" t="s">
        <v>1016</v>
      </c>
      <c r="Y9" s="26">
        <v>1</v>
      </c>
    </row>
    <row r="10" spans="1:25" ht="48" customHeight="1" thickBot="1">
      <c r="A10" s="22" t="s">
        <v>214</v>
      </c>
      <c r="B10" s="35" t="s">
        <v>198</v>
      </c>
      <c r="C10" s="35" t="s">
        <v>199</v>
      </c>
      <c r="D10" s="35" t="s">
        <v>200</v>
      </c>
      <c r="E10" s="35" t="s">
        <v>1017</v>
      </c>
      <c r="F10" s="31">
        <v>5</v>
      </c>
      <c r="G10" s="22" t="s">
        <v>1018</v>
      </c>
      <c r="H10" s="24">
        <v>5</v>
      </c>
      <c r="I10" s="22" t="s">
        <v>973</v>
      </c>
      <c r="J10" s="24">
        <v>5</v>
      </c>
      <c r="K10" s="22" t="s">
        <v>974</v>
      </c>
      <c r="L10" s="24">
        <v>5</v>
      </c>
      <c r="M10" s="22" t="s">
        <v>966</v>
      </c>
      <c r="N10" s="32">
        <v>3</v>
      </c>
      <c r="O10" s="22"/>
      <c r="P10" s="24">
        <v>5</v>
      </c>
      <c r="Q10" s="22" t="s">
        <v>1019</v>
      </c>
      <c r="R10" s="25">
        <v>3</v>
      </c>
      <c r="S10" s="22" t="s">
        <v>1020</v>
      </c>
      <c r="T10" s="24">
        <v>5</v>
      </c>
      <c r="U10" s="22" t="s">
        <v>1021</v>
      </c>
      <c r="V10" s="22" t="s">
        <v>969</v>
      </c>
      <c r="W10" s="22" t="s">
        <v>32</v>
      </c>
      <c r="X10" s="22" t="s">
        <v>1022</v>
      </c>
      <c r="Y10" s="26">
        <v>1</v>
      </c>
    </row>
    <row r="11" spans="1:25" ht="48" customHeight="1" thickBot="1">
      <c r="A11" s="22" t="s">
        <v>309</v>
      </c>
      <c r="B11" s="35" t="s">
        <v>292</v>
      </c>
      <c r="C11" s="35" t="s">
        <v>293</v>
      </c>
      <c r="D11" s="35" t="s">
        <v>294</v>
      </c>
      <c r="E11" s="35" t="s">
        <v>1023</v>
      </c>
      <c r="F11" s="32">
        <v>3</v>
      </c>
      <c r="G11" s="22" t="s">
        <v>1024</v>
      </c>
      <c r="H11" s="24">
        <v>5</v>
      </c>
      <c r="I11" s="22" t="s">
        <v>990</v>
      </c>
      <c r="J11" s="25">
        <v>3</v>
      </c>
      <c r="K11" s="22" t="s">
        <v>991</v>
      </c>
      <c r="L11" s="25">
        <v>3</v>
      </c>
      <c r="M11" s="22" t="s">
        <v>992</v>
      </c>
      <c r="N11" s="33">
        <v>1</v>
      </c>
      <c r="O11" s="22"/>
      <c r="P11" s="24">
        <v>5</v>
      </c>
      <c r="Q11" s="22" t="s">
        <v>1025</v>
      </c>
      <c r="R11" s="27">
        <v>1</v>
      </c>
      <c r="S11" s="22" t="s">
        <v>1026</v>
      </c>
      <c r="T11" s="24">
        <v>5</v>
      </c>
      <c r="U11" s="22" t="s">
        <v>1027</v>
      </c>
      <c r="V11" s="22" t="s">
        <v>1028</v>
      </c>
      <c r="W11" s="22" t="s">
        <v>243</v>
      </c>
      <c r="X11" s="22" t="s">
        <v>1029</v>
      </c>
      <c r="Y11" s="26">
        <v>0</v>
      </c>
    </row>
    <row r="12" spans="1:25" ht="48" customHeight="1" thickBot="1">
      <c r="A12" s="22" t="s">
        <v>317</v>
      </c>
      <c r="B12" s="35" t="s">
        <v>302</v>
      </c>
      <c r="C12" s="35" t="s">
        <v>303</v>
      </c>
      <c r="D12" s="35" t="s">
        <v>304</v>
      </c>
      <c r="E12" s="35" t="s">
        <v>1030</v>
      </c>
      <c r="F12" s="31">
        <v>5</v>
      </c>
      <c r="G12" s="22" t="s">
        <v>1031</v>
      </c>
      <c r="H12" s="24">
        <v>5</v>
      </c>
      <c r="I12" s="22" t="s">
        <v>982</v>
      </c>
      <c r="J12" s="24">
        <v>5</v>
      </c>
      <c r="K12" s="22" t="s">
        <v>974</v>
      </c>
      <c r="L12" s="24">
        <v>5</v>
      </c>
      <c r="M12" s="22" t="s">
        <v>983</v>
      </c>
      <c r="N12" s="31">
        <v>5</v>
      </c>
      <c r="O12" s="22"/>
      <c r="P12" s="24">
        <v>5</v>
      </c>
      <c r="Q12" s="22" t="s">
        <v>1032</v>
      </c>
      <c r="R12" s="24">
        <v>5</v>
      </c>
      <c r="S12" s="22" t="s">
        <v>1033</v>
      </c>
      <c r="T12" s="24">
        <v>5</v>
      </c>
      <c r="U12" s="22" t="s">
        <v>51</v>
      </c>
      <c r="V12" s="22" t="s">
        <v>969</v>
      </c>
      <c r="W12" s="22" t="s">
        <v>32</v>
      </c>
      <c r="X12" s="22" t="s">
        <v>1034</v>
      </c>
      <c r="Y12" s="26">
        <v>1</v>
      </c>
    </row>
    <row r="13" spans="1:25" ht="48" customHeight="1" thickBot="1">
      <c r="A13" s="22" t="s">
        <v>326</v>
      </c>
      <c r="B13" s="35" t="s">
        <v>310</v>
      </c>
      <c r="C13" s="35" t="s">
        <v>311</v>
      </c>
      <c r="D13" s="35" t="s">
        <v>312</v>
      </c>
      <c r="E13" s="35" t="s">
        <v>1035</v>
      </c>
      <c r="F13" s="31">
        <v>5</v>
      </c>
      <c r="G13" s="22" t="s">
        <v>1031</v>
      </c>
      <c r="H13" s="24">
        <v>5</v>
      </c>
      <c r="I13" s="22" t="s">
        <v>982</v>
      </c>
      <c r="J13" s="24">
        <v>5</v>
      </c>
      <c r="K13" s="22" t="s">
        <v>974</v>
      </c>
      <c r="L13" s="24">
        <v>5</v>
      </c>
      <c r="M13" s="22" t="s">
        <v>983</v>
      </c>
      <c r="N13" s="31">
        <v>5</v>
      </c>
      <c r="O13" s="22"/>
      <c r="P13" s="24">
        <v>5</v>
      </c>
      <c r="Q13" s="22" t="s">
        <v>1036</v>
      </c>
      <c r="R13" s="24">
        <v>5</v>
      </c>
      <c r="S13" s="22" t="s">
        <v>1037</v>
      </c>
      <c r="T13" s="24">
        <v>5</v>
      </c>
      <c r="U13" s="22" t="s">
        <v>1038</v>
      </c>
      <c r="V13" s="22" t="s">
        <v>969</v>
      </c>
      <c r="W13" s="22" t="s">
        <v>32</v>
      </c>
      <c r="X13" s="22" t="s">
        <v>1039</v>
      </c>
      <c r="Y13" s="26">
        <v>1</v>
      </c>
    </row>
    <row r="14" spans="1:25" ht="48" customHeight="1" thickBot="1">
      <c r="A14" s="22" t="s">
        <v>336</v>
      </c>
      <c r="B14" s="35" t="s">
        <v>318</v>
      </c>
      <c r="C14" s="35" t="s">
        <v>319</v>
      </c>
      <c r="D14" s="35" t="s">
        <v>320</v>
      </c>
      <c r="E14" s="35" t="s">
        <v>1040</v>
      </c>
      <c r="F14" s="32">
        <v>3</v>
      </c>
      <c r="G14" s="22" t="s">
        <v>1041</v>
      </c>
      <c r="H14" s="24">
        <v>5</v>
      </c>
      <c r="I14" s="22" t="s">
        <v>982</v>
      </c>
      <c r="J14" s="25">
        <v>3</v>
      </c>
      <c r="K14" s="22" t="s">
        <v>1042</v>
      </c>
      <c r="L14" s="24">
        <v>5</v>
      </c>
      <c r="M14" s="22" t="s">
        <v>983</v>
      </c>
      <c r="N14" s="31">
        <v>5</v>
      </c>
      <c r="O14" s="22"/>
      <c r="P14" s="24">
        <v>5</v>
      </c>
      <c r="Q14" s="22" t="s">
        <v>1043</v>
      </c>
      <c r="R14" s="24">
        <v>5</v>
      </c>
      <c r="S14" s="22" t="s">
        <v>1044</v>
      </c>
      <c r="T14" s="24">
        <v>5</v>
      </c>
      <c r="U14" s="22" t="s">
        <v>51</v>
      </c>
      <c r="V14" s="22" t="s">
        <v>1045</v>
      </c>
      <c r="W14" s="22" t="s">
        <v>32</v>
      </c>
      <c r="X14" s="22" t="s">
        <v>92</v>
      </c>
      <c r="Y14" s="26">
        <v>1</v>
      </c>
    </row>
    <row r="15" spans="1:25" ht="48" customHeight="1" thickBot="1">
      <c r="A15" s="22" t="s">
        <v>371</v>
      </c>
      <c r="B15" s="35" t="s">
        <v>346</v>
      </c>
      <c r="C15" s="35" t="s">
        <v>1046</v>
      </c>
      <c r="D15" s="35" t="s">
        <v>348</v>
      </c>
      <c r="E15" s="35" t="s">
        <v>1047</v>
      </c>
      <c r="F15" s="31">
        <v>5</v>
      </c>
      <c r="G15" s="22" t="s">
        <v>1031</v>
      </c>
      <c r="H15" s="24">
        <v>5</v>
      </c>
      <c r="I15" s="22" t="s">
        <v>982</v>
      </c>
      <c r="J15" s="24">
        <v>5</v>
      </c>
      <c r="K15" s="22" t="s">
        <v>974</v>
      </c>
      <c r="L15" s="24">
        <v>5</v>
      </c>
      <c r="M15" s="22" t="s">
        <v>983</v>
      </c>
      <c r="N15" s="31">
        <v>5</v>
      </c>
      <c r="O15" s="22"/>
      <c r="P15" s="24">
        <v>5</v>
      </c>
      <c r="Q15" s="22" t="s">
        <v>1048</v>
      </c>
      <c r="R15" s="24">
        <v>5</v>
      </c>
      <c r="S15" s="22" t="s">
        <v>1049</v>
      </c>
      <c r="T15" s="24">
        <v>5</v>
      </c>
      <c r="U15" s="22" t="s">
        <v>81</v>
      </c>
      <c r="V15" s="22" t="s">
        <v>978</v>
      </c>
      <c r="W15" s="22" t="s">
        <v>32</v>
      </c>
      <c r="X15" s="22" t="s">
        <v>1050</v>
      </c>
      <c r="Y15" s="26">
        <v>1</v>
      </c>
    </row>
    <row r="16" spans="1:25" ht="48" customHeight="1" thickBot="1">
      <c r="A16" s="22" t="s">
        <v>467</v>
      </c>
      <c r="B16" s="35" t="s">
        <v>1051</v>
      </c>
      <c r="C16" s="35" t="s">
        <v>1052</v>
      </c>
      <c r="D16" s="35" t="s">
        <v>1053</v>
      </c>
      <c r="E16" s="35" t="s">
        <v>1054</v>
      </c>
      <c r="F16" s="32">
        <v>3</v>
      </c>
      <c r="G16" s="22" t="s">
        <v>1055</v>
      </c>
      <c r="H16" s="24">
        <v>5</v>
      </c>
      <c r="I16" s="22" t="s">
        <v>982</v>
      </c>
      <c r="J16" s="25">
        <v>3</v>
      </c>
      <c r="K16" s="22" t="s">
        <v>1056</v>
      </c>
      <c r="L16" s="24">
        <v>5</v>
      </c>
      <c r="M16" s="22" t="s">
        <v>983</v>
      </c>
      <c r="N16" s="31">
        <v>5</v>
      </c>
      <c r="O16" s="22"/>
      <c r="P16" s="24">
        <v>5</v>
      </c>
      <c r="Q16" s="22" t="s">
        <v>1057</v>
      </c>
      <c r="R16" s="24">
        <v>5</v>
      </c>
      <c r="S16" s="22" t="s">
        <v>1058</v>
      </c>
      <c r="T16" s="24">
        <v>5</v>
      </c>
      <c r="U16" s="22" t="s">
        <v>1059</v>
      </c>
      <c r="V16" s="22" t="s">
        <v>969</v>
      </c>
      <c r="W16" s="22" t="s">
        <v>32</v>
      </c>
      <c r="X16" s="22" t="s">
        <v>1060</v>
      </c>
      <c r="Y16" s="26">
        <v>1</v>
      </c>
    </row>
    <row r="17" spans="1:25" ht="48" customHeight="1" thickBot="1">
      <c r="A17" s="22" t="s">
        <v>532</v>
      </c>
      <c r="B17" s="35" t="s">
        <v>1061</v>
      </c>
      <c r="C17" s="35" t="s">
        <v>1062</v>
      </c>
      <c r="D17" s="35" t="s">
        <v>1063</v>
      </c>
      <c r="E17" s="35" t="s">
        <v>1064</v>
      </c>
      <c r="F17" s="31">
        <v>5</v>
      </c>
      <c r="G17" s="22" t="s">
        <v>1065</v>
      </c>
      <c r="H17" s="24">
        <v>5</v>
      </c>
      <c r="I17" s="22" t="s">
        <v>1066</v>
      </c>
      <c r="J17" s="23">
        <v>4</v>
      </c>
      <c r="K17" s="22" t="s">
        <v>1067</v>
      </c>
      <c r="L17" s="24">
        <v>5</v>
      </c>
      <c r="M17" s="22" t="s">
        <v>983</v>
      </c>
      <c r="N17" s="32">
        <v>3</v>
      </c>
      <c r="O17" s="22"/>
      <c r="P17" s="24">
        <v>5</v>
      </c>
      <c r="Q17" s="22" t="s">
        <v>1068</v>
      </c>
      <c r="R17" s="25">
        <v>3</v>
      </c>
      <c r="S17" s="22" t="s">
        <v>1069</v>
      </c>
      <c r="T17" s="24">
        <v>5</v>
      </c>
      <c r="U17" s="22" t="s">
        <v>51</v>
      </c>
      <c r="V17" s="22" t="s">
        <v>969</v>
      </c>
      <c r="W17" s="22" t="s">
        <v>32</v>
      </c>
      <c r="X17" s="22" t="s">
        <v>1070</v>
      </c>
      <c r="Y17" s="26">
        <v>1</v>
      </c>
    </row>
    <row r="18" spans="1:25" ht="48" customHeight="1" thickBot="1">
      <c r="A18" s="22" t="s">
        <v>541</v>
      </c>
      <c r="B18" s="35" t="s">
        <v>402</v>
      </c>
      <c r="C18" s="35" t="s">
        <v>1071</v>
      </c>
      <c r="D18" s="35" t="s">
        <v>404</v>
      </c>
      <c r="E18" s="35" t="s">
        <v>1011</v>
      </c>
      <c r="F18" s="32">
        <v>3</v>
      </c>
      <c r="G18" s="22" t="s">
        <v>1072</v>
      </c>
      <c r="H18" s="24">
        <v>5</v>
      </c>
      <c r="I18" s="22" t="s">
        <v>1073</v>
      </c>
      <c r="J18" s="25">
        <v>3</v>
      </c>
      <c r="K18" s="22" t="s">
        <v>1074</v>
      </c>
      <c r="L18" s="24">
        <v>5</v>
      </c>
      <c r="M18" s="22" t="s">
        <v>983</v>
      </c>
      <c r="N18" s="33">
        <v>1</v>
      </c>
      <c r="O18" s="22"/>
      <c r="P18" s="27">
        <v>1</v>
      </c>
      <c r="Q18" s="22" t="s">
        <v>1075</v>
      </c>
      <c r="R18" s="27">
        <v>1</v>
      </c>
      <c r="S18" s="22" t="s">
        <v>1076</v>
      </c>
      <c r="T18" s="27">
        <v>1</v>
      </c>
      <c r="U18" s="22" t="s">
        <v>1077</v>
      </c>
      <c r="V18" s="22" t="s">
        <v>969</v>
      </c>
      <c r="W18" s="22" t="s">
        <v>243</v>
      </c>
      <c r="X18" s="22" t="s">
        <v>1078</v>
      </c>
      <c r="Y18" s="26">
        <v>0</v>
      </c>
    </row>
    <row r="19" spans="1:25" ht="48" customHeight="1" thickBot="1">
      <c r="A19" s="22" t="s">
        <v>624</v>
      </c>
      <c r="B19" s="35" t="s">
        <v>485</v>
      </c>
      <c r="C19" s="35" t="s">
        <v>486</v>
      </c>
      <c r="D19" s="35" t="s">
        <v>487</v>
      </c>
      <c r="E19" s="35" t="s">
        <v>1079</v>
      </c>
      <c r="F19" s="31">
        <v>5</v>
      </c>
      <c r="G19" s="22" t="s">
        <v>1031</v>
      </c>
      <c r="H19" s="24">
        <v>5</v>
      </c>
      <c r="I19" s="22" t="s">
        <v>982</v>
      </c>
      <c r="J19" s="24">
        <v>5</v>
      </c>
      <c r="K19" s="22" t="s">
        <v>974</v>
      </c>
      <c r="L19" s="24">
        <v>5</v>
      </c>
      <c r="M19" s="22" t="s">
        <v>983</v>
      </c>
      <c r="N19" s="31">
        <v>5</v>
      </c>
      <c r="O19" s="22"/>
      <c r="P19" s="24">
        <v>5</v>
      </c>
      <c r="Q19" s="22" t="s">
        <v>1080</v>
      </c>
      <c r="R19" s="24">
        <v>5</v>
      </c>
      <c r="S19" s="22" t="s">
        <v>1081</v>
      </c>
      <c r="T19" s="24">
        <v>5</v>
      </c>
      <c r="U19" s="22" t="s">
        <v>110</v>
      </c>
      <c r="V19" s="22" t="s">
        <v>1082</v>
      </c>
      <c r="W19" s="22" t="s">
        <v>32</v>
      </c>
      <c r="X19" s="22" t="s">
        <v>1083</v>
      </c>
      <c r="Y19" s="26">
        <v>1</v>
      </c>
    </row>
    <row r="20" spans="1:25" ht="48" customHeight="1" thickBot="1">
      <c r="A20" s="22" t="s">
        <v>633</v>
      </c>
      <c r="B20" s="35" t="s">
        <v>495</v>
      </c>
      <c r="C20" s="35" t="s">
        <v>496</v>
      </c>
      <c r="D20" s="35" t="s">
        <v>497</v>
      </c>
      <c r="E20" s="35" t="s">
        <v>1011</v>
      </c>
      <c r="F20" s="33">
        <v>1</v>
      </c>
      <c r="G20" s="22" t="s">
        <v>1084</v>
      </c>
      <c r="H20" s="24">
        <v>5</v>
      </c>
      <c r="I20" s="22" t="s">
        <v>1085</v>
      </c>
      <c r="J20" s="25">
        <v>3</v>
      </c>
      <c r="K20" s="22" t="s">
        <v>1086</v>
      </c>
      <c r="L20" s="25">
        <v>3</v>
      </c>
      <c r="M20" s="22"/>
      <c r="N20" s="33">
        <v>1</v>
      </c>
      <c r="O20" s="22"/>
      <c r="P20" s="27">
        <v>1</v>
      </c>
      <c r="Q20" s="22" t="s">
        <v>1087</v>
      </c>
      <c r="R20" s="27">
        <v>1</v>
      </c>
      <c r="S20" s="22" t="s">
        <v>1088</v>
      </c>
      <c r="T20" s="27">
        <v>1</v>
      </c>
      <c r="U20" s="22" t="s">
        <v>1077</v>
      </c>
      <c r="V20" s="22" t="s">
        <v>978</v>
      </c>
      <c r="W20" s="22" t="s">
        <v>243</v>
      </c>
      <c r="X20" s="22" t="s">
        <v>1089</v>
      </c>
      <c r="Y20" s="26">
        <v>1</v>
      </c>
    </row>
    <row r="21" spans="1:25" ht="48" customHeight="1" thickBot="1">
      <c r="A21" s="22" t="s">
        <v>706</v>
      </c>
      <c r="B21" s="35" t="s">
        <v>570</v>
      </c>
      <c r="C21" s="35" t="s">
        <v>571</v>
      </c>
      <c r="D21" s="35" t="s">
        <v>572</v>
      </c>
      <c r="E21" s="35" t="s">
        <v>1090</v>
      </c>
      <c r="F21" s="32">
        <v>3</v>
      </c>
      <c r="G21" s="22" t="s">
        <v>1091</v>
      </c>
      <c r="H21" s="24">
        <v>5</v>
      </c>
      <c r="I21" s="22" t="s">
        <v>1085</v>
      </c>
      <c r="J21" s="25">
        <v>3</v>
      </c>
      <c r="K21" s="22" t="s">
        <v>1086</v>
      </c>
      <c r="L21" s="25">
        <v>3</v>
      </c>
      <c r="M21" s="22"/>
      <c r="N21" s="31">
        <v>5</v>
      </c>
      <c r="O21" s="22"/>
      <c r="P21" s="24">
        <v>5</v>
      </c>
      <c r="Q21" s="22" t="s">
        <v>1092</v>
      </c>
      <c r="R21" s="24">
        <v>5</v>
      </c>
      <c r="S21" s="22" t="s">
        <v>1093</v>
      </c>
      <c r="T21" s="24">
        <v>5</v>
      </c>
      <c r="U21" s="22" t="s">
        <v>1094</v>
      </c>
      <c r="V21" s="22" t="s">
        <v>969</v>
      </c>
      <c r="W21" s="22" t="s">
        <v>32</v>
      </c>
      <c r="X21" s="22" t="s">
        <v>353</v>
      </c>
      <c r="Y21" s="26">
        <v>1</v>
      </c>
    </row>
    <row r="22" spans="1:25" ht="48" customHeight="1" thickBot="1">
      <c r="A22" s="22" t="s">
        <v>715</v>
      </c>
      <c r="B22" s="35" t="s">
        <v>579</v>
      </c>
      <c r="C22" s="35" t="s">
        <v>580</v>
      </c>
      <c r="D22" s="35" t="s">
        <v>581</v>
      </c>
      <c r="E22" s="35" t="s">
        <v>1095</v>
      </c>
      <c r="F22" s="32">
        <v>3</v>
      </c>
      <c r="G22" s="22" t="s">
        <v>1091</v>
      </c>
      <c r="H22" s="24">
        <v>5</v>
      </c>
      <c r="I22" s="22" t="s">
        <v>1085</v>
      </c>
      <c r="J22" s="25">
        <v>3</v>
      </c>
      <c r="K22" s="22" t="s">
        <v>1086</v>
      </c>
      <c r="L22" s="25">
        <v>3</v>
      </c>
      <c r="M22" s="22"/>
      <c r="N22" s="32">
        <v>3</v>
      </c>
      <c r="O22" s="22"/>
      <c r="P22" s="24">
        <v>5</v>
      </c>
      <c r="Q22" s="22" t="s">
        <v>1096</v>
      </c>
      <c r="R22" s="25">
        <v>3</v>
      </c>
      <c r="S22" s="22" t="s">
        <v>1097</v>
      </c>
      <c r="T22" s="24">
        <v>5</v>
      </c>
      <c r="U22" s="22" t="s">
        <v>1015</v>
      </c>
      <c r="V22" s="22" t="s">
        <v>969</v>
      </c>
      <c r="W22" s="22" t="s">
        <v>32</v>
      </c>
      <c r="X22" s="22" t="s">
        <v>1098</v>
      </c>
      <c r="Y22" s="26">
        <v>1</v>
      </c>
    </row>
    <row r="23" spans="1:25" ht="48" customHeight="1" thickBot="1">
      <c r="A23" s="22" t="s">
        <v>723</v>
      </c>
      <c r="B23" s="35" t="s">
        <v>589</v>
      </c>
      <c r="C23" s="35" t="s">
        <v>590</v>
      </c>
      <c r="D23" s="35" t="s">
        <v>591</v>
      </c>
      <c r="E23" s="35" t="s">
        <v>1099</v>
      </c>
      <c r="F23" s="32">
        <v>3</v>
      </c>
      <c r="G23" s="22" t="s">
        <v>1091</v>
      </c>
      <c r="H23" s="24">
        <v>5</v>
      </c>
      <c r="I23" s="22" t="s">
        <v>1085</v>
      </c>
      <c r="J23" s="25">
        <v>3</v>
      </c>
      <c r="K23" s="22" t="s">
        <v>1086</v>
      </c>
      <c r="L23" s="25">
        <v>3</v>
      </c>
      <c r="M23" s="22"/>
      <c r="N23" s="31">
        <v>5</v>
      </c>
      <c r="O23" s="22"/>
      <c r="P23" s="24">
        <v>5</v>
      </c>
      <c r="Q23" s="22" t="s">
        <v>1100</v>
      </c>
      <c r="R23" s="24">
        <v>5</v>
      </c>
      <c r="S23" s="22" t="s">
        <v>1101</v>
      </c>
      <c r="T23" s="24">
        <v>5</v>
      </c>
      <c r="U23" s="22" t="s">
        <v>1102</v>
      </c>
      <c r="V23" s="22" t="s">
        <v>1103</v>
      </c>
      <c r="W23" s="22" t="s">
        <v>32</v>
      </c>
      <c r="X23" s="22" t="s">
        <v>1104</v>
      </c>
      <c r="Y23" s="26">
        <v>1</v>
      </c>
    </row>
    <row r="24" spans="1:25" ht="48" customHeight="1" thickBot="1">
      <c r="A24" s="22" t="s">
        <v>1105</v>
      </c>
      <c r="B24" s="28" t="s">
        <v>1106</v>
      </c>
      <c r="C24" s="28" t="s">
        <v>1107</v>
      </c>
      <c r="D24" s="29" t="s">
        <v>1108</v>
      </c>
      <c r="E24" s="28" t="s">
        <v>1109</v>
      </c>
      <c r="F24" s="33">
        <v>1</v>
      </c>
      <c r="G24" s="22" t="s">
        <v>1110</v>
      </c>
      <c r="H24" s="27">
        <v>1</v>
      </c>
      <c r="I24" s="22" t="s">
        <v>1110</v>
      </c>
      <c r="J24" s="25">
        <v>3</v>
      </c>
      <c r="K24" s="22" t="s">
        <v>1111</v>
      </c>
      <c r="L24" s="25">
        <v>3</v>
      </c>
      <c r="M24" s="22"/>
      <c r="N24" s="33">
        <v>1</v>
      </c>
      <c r="O24" s="22"/>
      <c r="P24" s="27">
        <v>1</v>
      </c>
      <c r="Q24" s="22" t="s">
        <v>1112</v>
      </c>
      <c r="R24" s="27">
        <v>1</v>
      </c>
      <c r="S24" s="22" t="s">
        <v>1113</v>
      </c>
      <c r="T24" s="24">
        <v>5</v>
      </c>
      <c r="U24" s="22" t="s">
        <v>1027</v>
      </c>
      <c r="V24" s="22" t="s">
        <v>1114</v>
      </c>
      <c r="W24" s="22" t="s">
        <v>243</v>
      </c>
      <c r="X24" s="22" t="s">
        <v>1115</v>
      </c>
      <c r="Y24" s="26">
        <v>1</v>
      </c>
    </row>
    <row r="25" spans="1:25" ht="48" customHeight="1" thickBot="1">
      <c r="A25" s="22" t="s">
        <v>1116</v>
      </c>
      <c r="B25" s="28" t="s">
        <v>1117</v>
      </c>
      <c r="C25" s="28" t="s">
        <v>1118</v>
      </c>
      <c r="D25" s="29" t="s">
        <v>1119</v>
      </c>
      <c r="E25" s="28" t="s">
        <v>1120</v>
      </c>
      <c r="F25" s="33">
        <v>1</v>
      </c>
      <c r="G25" s="22" t="s">
        <v>1110</v>
      </c>
      <c r="H25" s="27">
        <v>1</v>
      </c>
      <c r="I25" s="22" t="s">
        <v>1110</v>
      </c>
      <c r="J25" s="25">
        <v>3</v>
      </c>
      <c r="K25" s="22" t="s">
        <v>1111</v>
      </c>
      <c r="L25" s="25">
        <v>3</v>
      </c>
      <c r="M25" s="22"/>
      <c r="N25" s="33">
        <v>1</v>
      </c>
      <c r="O25" s="22"/>
      <c r="P25" s="27">
        <v>1</v>
      </c>
      <c r="Q25" s="22" t="s">
        <v>1121</v>
      </c>
      <c r="R25" s="27">
        <v>1</v>
      </c>
      <c r="S25" s="22" t="s">
        <v>1122</v>
      </c>
      <c r="T25" s="25">
        <v>3</v>
      </c>
      <c r="U25" s="22" t="s">
        <v>1123</v>
      </c>
      <c r="V25" s="22" t="s">
        <v>1124</v>
      </c>
      <c r="W25" s="22" t="s">
        <v>243</v>
      </c>
      <c r="X25" s="22" t="s">
        <v>1125</v>
      </c>
      <c r="Y25" s="26">
        <v>1</v>
      </c>
    </row>
    <row r="26" spans="1:25" ht="48" customHeight="1" thickBot="1">
      <c r="A26" s="22" t="s">
        <v>1126</v>
      </c>
      <c r="B26" s="28" t="s">
        <v>1127</v>
      </c>
      <c r="C26" s="28" t="s">
        <v>1128</v>
      </c>
      <c r="D26" s="28" t="s">
        <v>1129</v>
      </c>
      <c r="E26" s="28" t="s">
        <v>1130</v>
      </c>
      <c r="F26" s="33">
        <v>1</v>
      </c>
      <c r="G26" s="22" t="s">
        <v>1110</v>
      </c>
      <c r="H26" s="27">
        <v>1</v>
      </c>
      <c r="I26" s="22" t="s">
        <v>1110</v>
      </c>
      <c r="J26" s="25">
        <v>3</v>
      </c>
      <c r="K26" s="22" t="s">
        <v>1111</v>
      </c>
      <c r="L26" s="25">
        <v>3</v>
      </c>
      <c r="M26" s="22"/>
      <c r="N26" s="33">
        <v>1</v>
      </c>
      <c r="O26" s="22"/>
      <c r="P26" s="27">
        <v>1</v>
      </c>
      <c r="Q26" s="22" t="s">
        <v>1131</v>
      </c>
      <c r="R26" s="27">
        <v>1</v>
      </c>
      <c r="S26" s="22" t="s">
        <v>1132</v>
      </c>
      <c r="T26" s="24">
        <v>5</v>
      </c>
      <c r="U26" s="22" t="s">
        <v>1027</v>
      </c>
      <c r="V26" s="22" t="s">
        <v>1133</v>
      </c>
      <c r="W26" s="22" t="s">
        <v>243</v>
      </c>
      <c r="X26" s="22" t="s">
        <v>1134</v>
      </c>
      <c r="Y26" s="26">
        <v>1</v>
      </c>
    </row>
    <row r="27" spans="1:25" ht="48" customHeight="1" thickBot="1">
      <c r="A27" s="22" t="s">
        <v>1135</v>
      </c>
      <c r="B27" s="28" t="s">
        <v>1106</v>
      </c>
      <c r="C27" s="28" t="s">
        <v>1136</v>
      </c>
      <c r="D27" s="29" t="s">
        <v>1137</v>
      </c>
      <c r="E27" s="28" t="s">
        <v>1138</v>
      </c>
      <c r="F27" s="33">
        <v>1</v>
      </c>
      <c r="G27" s="22" t="s">
        <v>1110</v>
      </c>
      <c r="H27" s="27">
        <v>1</v>
      </c>
      <c r="I27" s="22" t="s">
        <v>1110</v>
      </c>
      <c r="J27" s="25">
        <v>3</v>
      </c>
      <c r="K27" s="22" t="s">
        <v>1111</v>
      </c>
      <c r="L27" s="25">
        <v>3</v>
      </c>
      <c r="M27" s="22"/>
      <c r="N27" s="33">
        <v>1</v>
      </c>
      <c r="O27" s="22"/>
      <c r="P27" s="27">
        <v>1</v>
      </c>
      <c r="Q27" s="22" t="s">
        <v>1139</v>
      </c>
      <c r="R27" s="27">
        <v>1</v>
      </c>
      <c r="S27" s="22" t="s">
        <v>1140</v>
      </c>
      <c r="T27" s="23">
        <v>4</v>
      </c>
      <c r="U27" s="22" t="s">
        <v>1141</v>
      </c>
      <c r="V27" s="22" t="s">
        <v>1142</v>
      </c>
      <c r="W27" s="22" t="s">
        <v>243</v>
      </c>
      <c r="X27" s="22" t="s">
        <v>1143</v>
      </c>
      <c r="Y27" s="26">
        <v>1</v>
      </c>
    </row>
    <row r="28" spans="1:25" ht="48" customHeight="1" thickBot="1">
      <c r="A28" s="22" t="s">
        <v>1144</v>
      </c>
      <c r="B28" s="28" t="s">
        <v>1145</v>
      </c>
      <c r="C28" s="28" t="s">
        <v>1146</v>
      </c>
      <c r="D28" s="28" t="s">
        <v>1147</v>
      </c>
      <c r="E28" s="28" t="s">
        <v>1148</v>
      </c>
      <c r="F28" s="33">
        <v>1</v>
      </c>
      <c r="G28" s="22" t="s">
        <v>1110</v>
      </c>
      <c r="H28" s="27">
        <v>1</v>
      </c>
      <c r="I28" s="22" t="s">
        <v>1110</v>
      </c>
      <c r="J28" s="25">
        <v>3</v>
      </c>
      <c r="K28" s="22" t="s">
        <v>1111</v>
      </c>
      <c r="L28" s="25">
        <v>3</v>
      </c>
      <c r="M28" s="22"/>
      <c r="N28" s="33">
        <v>1</v>
      </c>
      <c r="O28" s="22"/>
      <c r="P28" s="27">
        <v>1</v>
      </c>
      <c r="Q28" s="22" t="s">
        <v>1149</v>
      </c>
      <c r="R28" s="27">
        <v>1</v>
      </c>
      <c r="S28" s="22" t="s">
        <v>1150</v>
      </c>
      <c r="T28" s="24">
        <v>5</v>
      </c>
      <c r="U28" s="22" t="s">
        <v>1151</v>
      </c>
      <c r="V28" s="22" t="s">
        <v>1152</v>
      </c>
      <c r="W28" s="22" t="s">
        <v>243</v>
      </c>
      <c r="X28" s="22" t="s">
        <v>1153</v>
      </c>
      <c r="Y28" s="26">
        <v>1</v>
      </c>
    </row>
    <row r="29" spans="1:25" ht="48" customHeight="1" thickBot="1">
      <c r="A29" s="22" t="s">
        <v>1154</v>
      </c>
      <c r="B29" s="28" t="s">
        <v>1155</v>
      </c>
      <c r="C29" s="28" t="s">
        <v>1156</v>
      </c>
      <c r="D29" s="29" t="s">
        <v>1157</v>
      </c>
      <c r="E29" s="28" t="s">
        <v>1158</v>
      </c>
      <c r="F29" s="33">
        <v>1</v>
      </c>
      <c r="G29" s="22" t="s">
        <v>1110</v>
      </c>
      <c r="H29" s="27">
        <v>1</v>
      </c>
      <c r="I29" s="22" t="s">
        <v>1110</v>
      </c>
      <c r="J29" s="25">
        <v>3</v>
      </c>
      <c r="K29" s="22" t="s">
        <v>1111</v>
      </c>
      <c r="L29" s="25">
        <v>3</v>
      </c>
      <c r="M29" s="22"/>
      <c r="N29" s="33">
        <v>1</v>
      </c>
      <c r="O29" s="22"/>
      <c r="P29" s="27">
        <v>1</v>
      </c>
      <c r="Q29" s="22" t="s">
        <v>1159</v>
      </c>
      <c r="R29" s="27">
        <v>1</v>
      </c>
      <c r="S29" s="22" t="s">
        <v>1160</v>
      </c>
      <c r="T29" s="24">
        <v>5</v>
      </c>
      <c r="U29" s="22" t="s">
        <v>1027</v>
      </c>
      <c r="V29" s="22" t="s">
        <v>1161</v>
      </c>
      <c r="W29" s="22" t="s">
        <v>243</v>
      </c>
      <c r="X29" s="22" t="s">
        <v>1162</v>
      </c>
      <c r="Y29" s="26">
        <v>1</v>
      </c>
    </row>
    <row r="30" spans="1:25" ht="48" customHeight="1" thickBot="1">
      <c r="A30" s="22" t="s">
        <v>1163</v>
      </c>
      <c r="B30" s="28" t="s">
        <v>1164</v>
      </c>
      <c r="C30" s="28" t="s">
        <v>1165</v>
      </c>
      <c r="D30" s="28" t="s">
        <v>1166</v>
      </c>
      <c r="E30" s="28" t="s">
        <v>1167</v>
      </c>
      <c r="F30" s="33">
        <v>1</v>
      </c>
      <c r="G30" s="22" t="s">
        <v>1110</v>
      </c>
      <c r="H30" s="27">
        <v>1</v>
      </c>
      <c r="I30" s="22" t="s">
        <v>1110</v>
      </c>
      <c r="J30" s="25">
        <v>3</v>
      </c>
      <c r="K30" s="22" t="s">
        <v>1111</v>
      </c>
      <c r="L30" s="25">
        <v>3</v>
      </c>
      <c r="M30" s="22"/>
      <c r="N30" s="33">
        <v>1</v>
      </c>
      <c r="O30" s="22"/>
      <c r="P30" s="27">
        <v>1</v>
      </c>
      <c r="Q30" s="22" t="s">
        <v>1168</v>
      </c>
      <c r="R30" s="27">
        <v>1</v>
      </c>
      <c r="S30" s="22" t="s">
        <v>1169</v>
      </c>
      <c r="T30" s="25">
        <v>3</v>
      </c>
      <c r="U30" s="22" t="s">
        <v>1170</v>
      </c>
      <c r="V30" s="22" t="s">
        <v>1171</v>
      </c>
      <c r="W30" s="22" t="s">
        <v>243</v>
      </c>
      <c r="X30" s="22" t="s">
        <v>1172</v>
      </c>
      <c r="Y30" s="26">
        <v>1</v>
      </c>
    </row>
    <row r="31" spans="1:25" ht="48" customHeight="1" thickBot="1">
      <c r="A31" s="22" t="s">
        <v>1173</v>
      </c>
      <c r="B31" s="28" t="s">
        <v>1174</v>
      </c>
      <c r="C31" s="28" t="s">
        <v>1175</v>
      </c>
      <c r="D31" s="29" t="s">
        <v>1176</v>
      </c>
      <c r="E31" s="28" t="s">
        <v>1177</v>
      </c>
      <c r="F31" s="33">
        <v>1</v>
      </c>
      <c r="G31" s="22" t="s">
        <v>1110</v>
      </c>
      <c r="H31" s="27">
        <v>1</v>
      </c>
      <c r="I31" s="22" t="s">
        <v>1110</v>
      </c>
      <c r="J31" s="25">
        <v>3</v>
      </c>
      <c r="K31" s="22" t="s">
        <v>1111</v>
      </c>
      <c r="L31" s="25">
        <v>3</v>
      </c>
      <c r="M31" s="22"/>
      <c r="N31" s="33">
        <v>1</v>
      </c>
      <c r="O31" s="22"/>
      <c r="P31" s="27">
        <v>1</v>
      </c>
      <c r="Q31" s="22" t="s">
        <v>1178</v>
      </c>
      <c r="R31" s="27">
        <v>1</v>
      </c>
      <c r="S31" s="22" t="s">
        <v>1179</v>
      </c>
      <c r="T31" s="25">
        <v>3</v>
      </c>
      <c r="U31" s="22" t="s">
        <v>1141</v>
      </c>
      <c r="V31" s="22" t="s">
        <v>1180</v>
      </c>
      <c r="W31" s="22" t="s">
        <v>243</v>
      </c>
      <c r="X31" s="22" t="s">
        <v>1181</v>
      </c>
      <c r="Y31" s="26">
        <v>1</v>
      </c>
    </row>
    <row r="32" spans="1:25" ht="32.5" customHeight="1"/>
    <row r="33" ht="32.5" customHeight="1"/>
    <row r="34" ht="32.5" customHeight="1"/>
    <row r="35" ht="32.5" customHeight="1"/>
    <row r="36" ht="32.5" customHeight="1"/>
    <row r="37" ht="32.5" customHeight="1"/>
    <row r="38" ht="32.5" customHeight="1"/>
    <row r="39" ht="32.5" customHeight="1"/>
    <row r="40" ht="32.5" customHeight="1"/>
    <row r="41" ht="32.5" customHeight="1"/>
    <row r="42" ht="32.5" customHeight="1"/>
    <row r="43" ht="32.5" customHeight="1"/>
    <row r="44" ht="32.5" customHeight="1"/>
    <row r="45" ht="32.5" customHeight="1"/>
    <row r="46" ht="32.5" customHeight="1"/>
    <row r="47" ht="32.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8"/>
  <sheetViews>
    <sheetView workbookViewId="0">
      <selection activeCell="E20" sqref="E20"/>
    </sheetView>
  </sheetViews>
  <sheetFormatPr baseColWidth="10" defaultColWidth="8.83203125" defaultRowHeight="13"/>
  <cols>
    <col min="3" max="3" width="13.6640625" customWidth="1"/>
    <col min="5" max="5" width="79.33203125" customWidth="1"/>
    <col min="6" max="6" width="52.6640625" customWidth="1"/>
  </cols>
  <sheetData>
    <row r="2" spans="2:5">
      <c r="B2" s="21" t="s">
        <v>1182</v>
      </c>
    </row>
    <row r="3" spans="2:5">
      <c r="B3" s="18" t="s">
        <v>1183</v>
      </c>
      <c r="C3" s="18" t="s">
        <v>1184</v>
      </c>
    </row>
    <row r="4" spans="2:5">
      <c r="B4" s="16">
        <v>0</v>
      </c>
      <c r="C4" s="17">
        <f>11/18</f>
        <v>0.61111111111111116</v>
      </c>
    </row>
    <row r="5" spans="2:5">
      <c r="B5" s="16">
        <v>1</v>
      </c>
      <c r="C5" s="17">
        <f>15/23</f>
        <v>0.65217391304347827</v>
      </c>
    </row>
    <row r="6" spans="2:5">
      <c r="B6" s="16">
        <v>2</v>
      </c>
      <c r="C6" s="17">
        <f>13/18</f>
        <v>0.72222222222222221</v>
      </c>
    </row>
    <row r="7" spans="2:5">
      <c r="B7" s="16">
        <v>3</v>
      </c>
      <c r="C7" s="17">
        <f>15/18</f>
        <v>0.83333333333333337</v>
      </c>
    </row>
    <row r="8" spans="2:5">
      <c r="B8" s="16">
        <v>4</v>
      </c>
      <c r="C8" s="15">
        <f>19/22</f>
        <v>0.86363636363636365</v>
      </c>
    </row>
    <row r="10" spans="2:5">
      <c r="B10" s="21" t="s">
        <v>1185</v>
      </c>
    </row>
    <row r="11" spans="2:5">
      <c r="B11" s="19" t="s">
        <v>1186</v>
      </c>
    </row>
    <row r="12" spans="2:5">
      <c r="B12" s="19" t="s">
        <v>1187</v>
      </c>
    </row>
    <row r="15" spans="2:5">
      <c r="B15" s="21" t="s">
        <v>1188</v>
      </c>
      <c r="E15" s="21"/>
    </row>
    <row r="16" spans="2:5">
      <c r="B16" s="20" t="s">
        <v>1189</v>
      </c>
      <c r="E16" s="36"/>
    </row>
    <row r="17" spans="2:5">
      <c r="B17" s="19" t="s">
        <v>1190</v>
      </c>
      <c r="E17" s="36"/>
    </row>
    <row r="18" spans="2:5">
      <c r="B18" s="19" t="s">
        <v>1191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Test Case Result</vt:lpstr>
      <vt:lpstr>Result Summary</vt:lpstr>
      <vt:lpstr>Alignment Set</vt:lpstr>
      <vt:lpstr>Alignment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Weerapat Satitkanitkul</dc:creator>
  <cp:keywords/>
  <dc:description/>
  <cp:lastModifiedBy>Microsoft Office User</cp:lastModifiedBy>
  <cp:revision/>
  <dcterms:created xsi:type="dcterms:W3CDTF">2026-06-24T06:30:53Z</dcterms:created>
  <dcterms:modified xsi:type="dcterms:W3CDTF">2026-06-25T12:48:10Z</dcterms:modified>
  <cp:category/>
  <cp:contentStatus/>
</cp:coreProperties>
</file>